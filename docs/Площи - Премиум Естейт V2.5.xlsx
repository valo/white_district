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ферти" sheetId="1" r:id="rId5"/>
    <sheet state="visible" name="Жилищна част" sheetId="2" r:id="rId6"/>
    <sheet state="visible" name="Стопанка Финална" sheetId="3" r:id="rId7"/>
  </sheets>
  <definedNames/>
  <calcPr/>
</workbook>
</file>

<file path=xl/sharedStrings.xml><?xml version="1.0" encoding="utf-8"?>
<sst xmlns="http://schemas.openxmlformats.org/spreadsheetml/2006/main" count="718" uniqueCount="266">
  <si>
    <t>Категория</t>
  </si>
  <si>
    <t>Услуга</t>
  </si>
  <si>
    <t>Стопанка V1 (24ч портиер)</t>
  </si>
  <si>
    <t>Стопанка V2 (8 ч портиер)</t>
  </si>
  <si>
    <t>Стопанка V3 (без портиер)</t>
  </si>
  <si>
    <t>Стопанка V3 (финална)</t>
  </si>
  <si>
    <t>FM Solutions (24ч портиер)</t>
  </si>
  <si>
    <t>FM Solutions (без портиер)</t>
  </si>
  <si>
    <t>Общ Дом (24ч портиер)</t>
  </si>
  <si>
    <t>Общ Дом (без портиер)</t>
  </si>
  <si>
    <t>Габриела Мениджмънт (24ч портиер)</t>
  </si>
  <si>
    <t>Габриела Мениджмънт (без портиер)</t>
  </si>
  <si>
    <t>Премиум Естейт</t>
  </si>
  <si>
    <t>Бележки</t>
  </si>
  <si>
    <t>Управление</t>
  </si>
  <si>
    <r>
      <rPr>
        <rFont val="Arial"/>
        <color theme="1"/>
      </rPr>
      <t xml:space="preserve">Домоуправител + касиер, </t>
    </r>
    <r>
      <rPr>
        <rFont val="Arial"/>
        <b/>
        <color theme="1"/>
      </rPr>
      <t>Стопанка ООД</t>
    </r>
  </si>
  <si>
    <t>4.17€/ап + 2.08€/паркомясто + 0.83€/мазе</t>
  </si>
  <si>
    <t>—</t>
  </si>
  <si>
    <t>Стопанка: 5/2.5/1 € с ДДС → /1.20</t>
  </si>
  <si>
    <r>
      <rPr>
        <rFont val="Arial"/>
        <color theme="1"/>
      </rPr>
      <t xml:space="preserve">Такса управление жилищна част, </t>
    </r>
    <r>
      <rPr>
        <rFont val="Arial"/>
        <b/>
        <color theme="1"/>
      </rPr>
      <t>Стопанка ООД</t>
    </r>
  </si>
  <si>
    <r>
      <rPr>
        <rFont val="Arial"/>
        <color theme="1"/>
      </rPr>
      <t xml:space="preserve">Такса управление мазета, </t>
    </r>
    <r>
      <rPr>
        <rFont val="Arial"/>
        <b/>
        <color theme="1"/>
      </rPr>
      <t>Стопанка ООД</t>
    </r>
  </si>
  <si>
    <r>
      <rPr>
        <rFont val="Arial"/>
        <color theme="1"/>
      </rPr>
      <t xml:space="preserve">Такса управление паркоместа, </t>
    </r>
    <r>
      <rPr>
        <rFont val="Arial"/>
        <b/>
        <color theme="1"/>
      </rPr>
      <t>Стопанка ООД</t>
    </r>
  </si>
  <si>
    <r>
      <rPr>
        <rFont val="Arial"/>
        <color theme="1"/>
      </rPr>
      <t xml:space="preserve">Такса управление общо, </t>
    </r>
    <r>
      <rPr>
        <rFont val="Arial"/>
        <b/>
        <color theme="1"/>
      </rPr>
      <t>FM Solutions/Общ Дом</t>
    </r>
  </si>
  <si>
    <r>
      <rPr>
        <rFont val="Arial"/>
        <color theme="1"/>
      </rPr>
      <t xml:space="preserve">Такса управление общо, </t>
    </r>
    <r>
      <rPr>
        <rFont val="Arial"/>
        <b/>
        <color theme="1"/>
      </rPr>
      <t>Габриела Мениджмънт ЕООД</t>
    </r>
  </si>
  <si>
    <t>7Е на апартамент, 3Е на паркомясто</t>
  </si>
  <si>
    <t>Контрол на достъп</t>
  </si>
  <si>
    <t>Портиер / охрана</t>
  </si>
  <si>
    <t>?</t>
  </si>
  <si>
    <t>Стопанка: портиер 4200/1600 € с ДДС → /1.20</t>
  </si>
  <si>
    <t>Почистване</t>
  </si>
  <si>
    <t>Почистване – жилищна част</t>
  </si>
  <si>
    <t>Стопанка: 1800€ с ДДС → 1500 без ДДС → ×(5/3)=2500, FM Solutions: почистване + изтривалки</t>
  </si>
  <si>
    <r>
      <rPr>
        <rFont val="Arial"/>
        <color theme="1"/>
      </rPr>
      <t xml:space="preserve">Почистване – гаражи/паркинг (+ фасада/тротоари </t>
    </r>
    <r>
      <rPr>
        <rFont val="Arial"/>
        <b/>
        <color theme="1"/>
      </rPr>
      <t>FM</t>
    </r>
    <r>
      <rPr>
        <rFont val="Arial"/>
        <color theme="1"/>
      </rPr>
      <t>)</t>
    </r>
  </si>
  <si>
    <t>Стопанка: 350€ с ДДС → /1.20</t>
  </si>
  <si>
    <t>Външни площи</t>
  </si>
  <si>
    <t>Зелени площи</t>
  </si>
  <si>
    <t>FM: 900€/месец март–ноември → 900×9/12=675</t>
  </si>
  <si>
    <t>Снегопочистване</t>
  </si>
  <si>
    <t>(включено)</t>
  </si>
  <si>
    <t>FM: 600E/месец за 3 месеца -&gt; 1800Е/12=150. Това са около 9-10ч на месец през зимата</t>
  </si>
  <si>
    <t>Техническа</t>
  </si>
  <si>
    <t>Техническа поддръжка</t>
  </si>
  <si>
    <t>Стопанка: 700€ с ДДС → /1.20</t>
  </si>
  <si>
    <t>Асансьор</t>
  </si>
  <si>
    <t>оферта от Alex EA</t>
  </si>
  <si>
    <t>Режийни</t>
  </si>
  <si>
    <t>Ток</t>
  </si>
  <si>
    <t>усреднено от финансов отчет за 2025</t>
  </si>
  <si>
    <t>Вода</t>
  </si>
  <si>
    <t>ОБЩО (фиксирани суми)</t>
  </si>
  <si>
    <t>Стопанка общо = редове с фиксирани суми; FM “11100” е по офертата</t>
  </si>
  <si>
    <t>ОБЩО (апартаменти / ателиета / мазета)</t>
  </si>
  <si>
    <t>ОБЩО (паркоместа / гаражи)</t>
  </si>
  <si>
    <t>ОБЩО (споделено жилищна площ и сутерен)</t>
  </si>
  <si>
    <t>Такса на кв.м. жилищна част</t>
  </si>
  <si>
    <t>Такса на кв.м. паркоместа</t>
  </si>
  <si>
    <t>Check</t>
  </si>
  <si>
    <t>Фонд ремонти</t>
  </si>
  <si>
    <t>Жилищна част</t>
  </si>
  <si>
    <t>Сутерен</t>
  </si>
  <si>
    <t>ФР кв.м. жилищна част</t>
  </si>
  <si>
    <t>ФР на кв.м. паркоместа</t>
  </si>
  <si>
    <t>Въпроси:</t>
  </si>
  <si>
    <t>- Има ли допълнителна такса за затворените гаражи или ги смятаме към прилежащите им апартаменти?</t>
  </si>
  <si>
    <t>Площ:</t>
  </si>
  <si>
    <t>Обекти</t>
  </si>
  <si>
    <t>Стопанка</t>
  </si>
  <si>
    <t>Поддръжка</t>
  </si>
  <si>
    <t>Асансьори</t>
  </si>
  <si>
    <t>Двор / Сняг</t>
  </si>
  <si>
    <t>Ремонт</t>
  </si>
  <si>
    <t>Общо</t>
  </si>
  <si>
    <t>12 месеца:</t>
  </si>
  <si>
    <t>Жилища</t>
  </si>
  <si>
    <t>АБ</t>
  </si>
  <si>
    <t>ВГ</t>
  </si>
  <si>
    <t>ДЕ</t>
  </si>
  <si>
    <t>ТАБЛИЦА - ПЛОЩОРАЗДЕЛЯНЕ</t>
  </si>
  <si>
    <t>НА "МНОГОПРОФИЛНА ЖИЛИЩНА СГРАДА С ПОДЗЕМНИ ГАРАЦИ В УПИ V, КВ. 5, М. "НПЗ ХЛАДИЛНИКА - ВИТОША ", РАЙОН "Лозенец"</t>
  </si>
  <si>
    <t>1. СГРАДАТА СЕ СЪСТОИ ОТ 128 АПАРТАМЕНТА, 30 АТЕЛИЕТА, 29 ГАРАЖИ, 29 ЕДИНИЧНИ И 47 ДВОЙНИ ПАРКОМЕСТА;</t>
  </si>
  <si>
    <t xml:space="preserve">2. КОНСТРУКЦИЯ </t>
  </si>
  <si>
    <t>3. РАЗГЪНАТА ЗАСТР. КВАДР. НА СГРАДАТА, ВКЛ. СУТЕРЕН</t>
  </si>
  <si>
    <t>4. РАЗГЪНАТА ЗАСТР. КВАДР. НА ОБЩИТЕ ЧАСТИ ЖИЛИЩА</t>
  </si>
  <si>
    <t>5. РАЗГЪНАТА ЗАСТР. КВАДР НА ОБЩИТЕ ЧАСТИ ПОДЗЕМНИ ГАРАЦИ</t>
  </si>
  <si>
    <t>6. ПЛОЩ НА УПИ</t>
  </si>
  <si>
    <t>ЕТ.</t>
  </si>
  <si>
    <t xml:space="preserve">К. </t>
  </si>
  <si>
    <t>АП. №</t>
  </si>
  <si>
    <t>ОПИСАНИЕ</t>
  </si>
  <si>
    <t>F1/M2/</t>
  </si>
  <si>
    <t>К И.Ч./%/</t>
  </si>
  <si>
    <t>К И.Ч. /М2/</t>
  </si>
  <si>
    <t>F1 + К И.Ч.</t>
  </si>
  <si>
    <t>ПОДОБЕКТ: СГРАДА ВХОД "А" И ВХОД "Б"/ПОДОБЕКТ: I ВХОД - А И ВХОД Б/</t>
  </si>
  <si>
    <t>СУТЕРЕН</t>
  </si>
  <si>
    <t>ПМ 1-2</t>
  </si>
  <si>
    <t>ПАРКОМЯСТО</t>
  </si>
  <si>
    <t>ПМ 3-4</t>
  </si>
  <si>
    <t>ПМ 5-6</t>
  </si>
  <si>
    <t>ПМ 7-8</t>
  </si>
  <si>
    <t>ПМ 9-10</t>
  </si>
  <si>
    <t>ПМ 11-12</t>
  </si>
  <si>
    <t>ПМ 13-14</t>
  </si>
  <si>
    <t>ПМ 15-16</t>
  </si>
  <si>
    <t>ПМ 17-18</t>
  </si>
  <si>
    <t>ПМ 19-20</t>
  </si>
  <si>
    <t>ПМ 21-22</t>
  </si>
  <si>
    <t>ПМ 23-24</t>
  </si>
  <si>
    <t>ПМ 25-26</t>
  </si>
  <si>
    <t>ПМ 27-28</t>
  </si>
  <si>
    <t>ПМ 29-30</t>
  </si>
  <si>
    <t>ПМ 31-32</t>
  </si>
  <si>
    <t>ПМ 33-34</t>
  </si>
  <si>
    <t>ПМ 35-36</t>
  </si>
  <si>
    <t>ПМ 37-38</t>
  </si>
  <si>
    <t>ПМ 39</t>
  </si>
  <si>
    <t>ПМ 40</t>
  </si>
  <si>
    <t>ПМ 41</t>
  </si>
  <si>
    <t>ПМ 42</t>
  </si>
  <si>
    <t>ПМ 43</t>
  </si>
  <si>
    <t>ПМ 44</t>
  </si>
  <si>
    <t>ПМ 45-46</t>
  </si>
  <si>
    <t>ПМ 47-48</t>
  </si>
  <si>
    <t>ОБЩО ПАРКОМЕСТА ЗА СУТЕРЕН "А-Б"</t>
  </si>
  <si>
    <t>ПОДОБЕКТ: СГРАДА ВХОД "В" И ВХОД "Г"/ПОДОБЕКТ: II ВХОД - В  И ВХОД Г/</t>
  </si>
  <si>
    <t>ПМ 11</t>
  </si>
  <si>
    <t>ПМ 12</t>
  </si>
  <si>
    <t>ПМ 13</t>
  </si>
  <si>
    <t>ПМ 14</t>
  </si>
  <si>
    <t>ПМ 15</t>
  </si>
  <si>
    <t>ПМ 16</t>
  </si>
  <si>
    <t>ПМ 31</t>
  </si>
  <si>
    <t>ПМ 32</t>
  </si>
  <si>
    <t>ОБЩО ПАРКОМЕСТА ЗА СУТЕРЕН "В-Г"</t>
  </si>
  <si>
    <t>ПОДОБЕКТ: СГРАДА ВХОД "Д" И ВХОД "Е"/ПОДОБЕКТ: III ВХОД - Д  И ВХОД Е/</t>
  </si>
  <si>
    <t>ПМ 17</t>
  </si>
  <si>
    <t>ПМ 18</t>
  </si>
  <si>
    <t>ПМ 19</t>
  </si>
  <si>
    <t>ПМ 20</t>
  </si>
  <si>
    <t>ПМ 21</t>
  </si>
  <si>
    <t>ПМ 22</t>
  </si>
  <si>
    <t>ПМ 23</t>
  </si>
  <si>
    <t>ПМ 24-25</t>
  </si>
  <si>
    <t>ПМ 26-27</t>
  </si>
  <si>
    <t>ПМ 28</t>
  </si>
  <si>
    <t>ПМ 29</t>
  </si>
  <si>
    <t>ПМ 30</t>
  </si>
  <si>
    <t>ПМ 32-33</t>
  </si>
  <si>
    <t>ПМ 34</t>
  </si>
  <si>
    <t>ПМ 37</t>
  </si>
  <si>
    <t>ПМ 38-39</t>
  </si>
  <si>
    <t>ПМ 40-41</t>
  </si>
  <si>
    <t>ПМ 42-43</t>
  </si>
  <si>
    <t>ОБЩО ПАРКОМЕСТА ЗА СУТЕРЕН "Д-Е"</t>
  </si>
  <si>
    <t>ВСИЧКО СУТЕРЕН</t>
  </si>
  <si>
    <t>ВХОД "А"</t>
  </si>
  <si>
    <t>партер</t>
  </si>
  <si>
    <t>ГАРАЖ 2</t>
  </si>
  <si>
    <t>ГАРАЖ</t>
  </si>
  <si>
    <t>ГАРАЖ 3</t>
  </si>
  <si>
    <t>ГАРАЖ 4</t>
  </si>
  <si>
    <t>ГАРАЖ 5</t>
  </si>
  <si>
    <t>ГАРАЖ 6</t>
  </si>
  <si>
    <t>ГАРАЖ 7</t>
  </si>
  <si>
    <t>АП. 001</t>
  </si>
  <si>
    <t>АП. 002</t>
  </si>
  <si>
    <t>I</t>
  </si>
  <si>
    <t>АТ. 101</t>
  </si>
  <si>
    <t>АП. 102</t>
  </si>
  <si>
    <t>АП. 103</t>
  </si>
  <si>
    <t>АП. 104</t>
  </si>
  <si>
    <t>АП. 105</t>
  </si>
  <si>
    <t>II</t>
  </si>
  <si>
    <t>АТ. 201</t>
  </si>
  <si>
    <t>АП. 202</t>
  </si>
  <si>
    <t>АП. 203</t>
  </si>
  <si>
    <t>АП. 204</t>
  </si>
  <si>
    <t>АП. 205</t>
  </si>
  <si>
    <t>III</t>
  </si>
  <si>
    <t>АТ. 301</t>
  </si>
  <si>
    <t>АП. 302</t>
  </si>
  <si>
    <t>АП. 303</t>
  </si>
  <si>
    <t>АП.304</t>
  </si>
  <si>
    <t>АП. 305</t>
  </si>
  <si>
    <t>IV</t>
  </si>
  <si>
    <t>АТ. 401</t>
  </si>
  <si>
    <t>АП. 402</t>
  </si>
  <si>
    <t>0.872%</t>
  </si>
  <si>
    <t>АП. 404</t>
  </si>
  <si>
    <t>АП. 405</t>
  </si>
  <si>
    <t>V</t>
  </si>
  <si>
    <t>АТ. 501</t>
  </si>
  <si>
    <t>АП. 502</t>
  </si>
  <si>
    <t>АП. 503</t>
  </si>
  <si>
    <t>АП. 504</t>
  </si>
  <si>
    <t>VI</t>
  </si>
  <si>
    <t>АП. 601</t>
  </si>
  <si>
    <t>АП. 602</t>
  </si>
  <si>
    <t>АП. 603</t>
  </si>
  <si>
    <t>ОБЩО АПАРТАМЕНТИ И ГАРАЖИ ЗА ВХОД "А"</t>
  </si>
  <si>
    <t>ВХОД "Б"</t>
  </si>
  <si>
    <t>ПАРТЕР</t>
  </si>
  <si>
    <t>АП. 403</t>
  </si>
  <si>
    <t>M1</t>
  </si>
  <si>
    <t>МАЗЕ*</t>
  </si>
  <si>
    <t>M2</t>
  </si>
  <si>
    <t>M3</t>
  </si>
  <si>
    <t>M4</t>
  </si>
  <si>
    <t>M5</t>
  </si>
  <si>
    <t>M6</t>
  </si>
  <si>
    <t>0.010%</t>
  </si>
  <si>
    <t>M7</t>
  </si>
  <si>
    <t>M8</t>
  </si>
  <si>
    <t>M9</t>
  </si>
  <si>
    <t>M9СТ</t>
  </si>
  <si>
    <t>М10</t>
  </si>
  <si>
    <t>М11</t>
  </si>
  <si>
    <t>М12</t>
  </si>
  <si>
    <t>ОБЩО АПАРТАМЕНТИ И ГАРАЖИ ЗА ВХОД "Б" + МАЗЕТА ЗА ВХОД "А-Б"</t>
  </si>
  <si>
    <t>ВХОД "В"</t>
  </si>
  <si>
    <t>ОБЩО АПАРТАМЕНТИ И ГАРАЖИ ЗА ВХОД "В"</t>
  </si>
  <si>
    <t>ВХОД "Г"</t>
  </si>
  <si>
    <t>M10</t>
  </si>
  <si>
    <t>М12СТ</t>
  </si>
  <si>
    <t>M13</t>
  </si>
  <si>
    <t>0.004%</t>
  </si>
  <si>
    <t>M14</t>
  </si>
  <si>
    <t>M15</t>
  </si>
  <si>
    <t>M16</t>
  </si>
  <si>
    <t>M17</t>
  </si>
  <si>
    <t>M18</t>
  </si>
  <si>
    <t>M19</t>
  </si>
  <si>
    <t>M20</t>
  </si>
  <si>
    <t>M20СТ</t>
  </si>
  <si>
    <t>M21</t>
  </si>
  <si>
    <t>ОБЩО АПАРТАМЕНТИ И ГАРАЖИ ЗА ВХОД "Г" + МАЗЕТА ЗА ВХОД "В-Г"</t>
  </si>
  <si>
    <t>ВХОД "Д"</t>
  </si>
  <si>
    <t>ОБЩО АПАРТАМЕНТИ И ГАРАЖИ ЗА ВХОД "Д"</t>
  </si>
  <si>
    <t>ВХОД "E"</t>
  </si>
  <si>
    <t>ОБЩО АПАРТАМЕНТИ И ГАРАЖИ ЗА ВХОД "Е" + МАЗЕТА ЗА ВХОД "Д-Е"</t>
  </si>
  <si>
    <t>АПАРТАМЕНТИ + АТЕЛИЕТА + МАЗЕТА + ГАРАЖИ</t>
  </si>
  <si>
    <t>ПАРКОМЕСТА + ГАРАЖИ</t>
  </si>
  <si>
    <t>Оща площ на жилищна част и гаражи:</t>
  </si>
  <si>
    <t>Сума за събиране:</t>
  </si>
  <si>
    <t>Оща площ паркоместа:</t>
  </si>
  <si>
    <t>Общ брой жилищни обекти:</t>
  </si>
  <si>
    <t>Общ брой гаражи:</t>
  </si>
  <si>
    <t>Общ брой мазета:</t>
  </si>
  <si>
    <t>Общ брой паркоместа:</t>
  </si>
  <si>
    <t>Обща площ на подземието</t>
  </si>
  <si>
    <t>Обща плож жилищна част</t>
  </si>
  <si>
    <t>Общо сграда</t>
  </si>
  <si>
    <t>Процент на подземието</t>
  </si>
  <si>
    <t>Разходи</t>
  </si>
  <si>
    <t>Подземие</t>
  </si>
  <si>
    <t>Подземие Е/%</t>
  </si>
  <si>
    <t>Жилищна част Е/%</t>
  </si>
  <si>
    <t>Паркомясто 23-24</t>
  </si>
  <si>
    <t>Тех. поддръжка</t>
  </si>
  <si>
    <t>Апартамент Г402</t>
  </si>
  <si>
    <t>Зелени</t>
  </si>
  <si>
    <t>Тех поддръжка</t>
  </si>
  <si>
    <t>Паркомясто 31,32-33</t>
  </si>
  <si>
    <t>Апартамент Д303</t>
  </si>
  <si>
    <t>Е/квм</t>
  </si>
  <si>
    <t>Е/квм без ФР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</si>
</sst>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€]#,##0.00"/>
    <numFmt numFmtId="165" formatCode="#,##0.0"/>
    <numFmt numFmtId="166" formatCode="0.000%"/>
    <numFmt numFmtId="167" formatCode="#,##0.000"/>
    <numFmt numFmtId="168" formatCode="&quot;$&quot;#,##0.0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8.0"/>
      <color theme="1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u/>
      <color theme="1"/>
      <name val="Calibri"/>
    </font>
    <font>
      <b/>
      <u/>
      <color theme="1"/>
      <name val="Calibri"/>
    </font>
    <font>
      <b/>
      <u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DBDB"/>
        <bgColor rgb="FFF2DBDB"/>
      </patternFill>
    </fill>
  </fills>
  <borders count="3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medium">
        <color rgb="FF00000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right style="medium">
        <color rgb="FF000000"/>
      </right>
      <top style="thin">
        <color theme="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4" xfId="0" applyFont="1" applyNumberFormat="1"/>
    <xf borderId="0" fillId="0" fontId="2" numFmtId="164" xfId="0" applyFont="1" applyNumberFormat="1"/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Font="1" applyNumberFormat="1"/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0" fillId="3" fontId="1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2" fillId="0" fontId="4" numFmtId="2" xfId="0" applyAlignment="1" applyBorder="1" applyFont="1" applyNumberFormat="1">
      <alignment horizontal="center" vertical="bottom"/>
    </xf>
    <xf borderId="3" fillId="0" fontId="4" numFmtId="2" xfId="0" applyAlignment="1" applyBorder="1" applyFont="1" applyNumberFormat="1">
      <alignment horizontal="center" vertical="bottom"/>
    </xf>
    <xf borderId="4" fillId="0" fontId="4" numFmtId="2" xfId="0" applyAlignment="1" applyBorder="1" applyFont="1" applyNumberFormat="1">
      <alignment horizontal="center" vertical="bottom"/>
    </xf>
    <xf borderId="1" fillId="0" fontId="3" numFmtId="2" xfId="0" applyAlignment="1" applyBorder="1" applyFont="1" applyNumberFormat="1">
      <alignment horizontal="center" vertical="bottom"/>
    </xf>
    <xf borderId="0" fillId="0" fontId="4" numFmtId="1" xfId="0" applyAlignment="1" applyFont="1" applyNumberFormat="1">
      <alignment horizontal="center" vertical="bottom"/>
    </xf>
    <xf borderId="5" fillId="0" fontId="4" numFmtId="2" xfId="0" applyAlignment="1" applyBorder="1" applyFont="1" applyNumberFormat="1">
      <alignment horizontal="center" vertical="bottom"/>
    </xf>
    <xf borderId="6" fillId="0" fontId="4" numFmtId="2" xfId="0" applyAlignment="1" applyBorder="1" applyFont="1" applyNumberFormat="1">
      <alignment horizontal="center" vertical="bottom"/>
    </xf>
    <xf borderId="6" fillId="0" fontId="4" numFmtId="2" xfId="0" applyAlignment="1" applyBorder="1" applyFont="1" applyNumberFormat="1">
      <alignment vertical="bottom"/>
    </xf>
    <xf borderId="7" fillId="0" fontId="4" numFmtId="2" xfId="0" applyAlignment="1" applyBorder="1" applyFont="1" applyNumberFormat="1">
      <alignment horizontal="center" vertical="bottom"/>
    </xf>
    <xf borderId="8" fillId="0" fontId="4" numFmtId="2" xfId="0" applyAlignment="1" applyBorder="1" applyFont="1" applyNumberFormat="1">
      <alignment horizontal="center" vertical="bottom"/>
    </xf>
    <xf borderId="9" fillId="0" fontId="4" numFmtId="2" xfId="0" applyAlignment="1" applyBorder="1" applyFont="1" applyNumberFormat="1">
      <alignment horizontal="center" vertical="bottom"/>
    </xf>
    <xf borderId="9" fillId="0" fontId="4" numFmtId="2" xfId="0" applyAlignment="1" applyBorder="1" applyFont="1" applyNumberFormat="1">
      <alignment vertical="bottom"/>
    </xf>
    <xf borderId="10" fillId="0" fontId="4" numFmtId="2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horizontal="center" vertical="bottom"/>
    </xf>
    <xf borderId="0" fillId="0" fontId="4" numFmtId="10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11" fillId="0" fontId="5" numFmtId="0" xfId="0" applyAlignment="1" applyBorder="1" applyFont="1">
      <alignment horizontal="center" vertical="bottom"/>
    </xf>
    <xf borderId="12" fillId="0" fontId="6" numFmtId="0" xfId="0" applyBorder="1" applyFont="1"/>
    <xf borderId="13" fillId="0" fontId="6" numFmtId="0" xfId="0" applyBorder="1" applyFont="1"/>
    <xf borderId="0" fillId="0" fontId="2" numFmtId="4" xfId="0" applyFont="1" applyNumberFormat="1"/>
    <xf borderId="11" fillId="0" fontId="7" numFmtId="0" xfId="0" applyAlignment="1" applyBorder="1" applyFont="1">
      <alignment horizontal="center" shrinkToFit="0" vertical="bottom" wrapText="1"/>
    </xf>
    <xf borderId="11" fillId="0" fontId="8" numFmtId="0" xfId="0" applyAlignment="1" applyBorder="1" applyFont="1">
      <alignment horizontal="left" shrinkToFit="0" vertical="bottom" wrapText="1"/>
    </xf>
    <xf borderId="11" fillId="0" fontId="8" numFmtId="0" xfId="0" applyAlignment="1" applyBorder="1" applyFont="1">
      <alignment vertical="bottom"/>
    </xf>
    <xf borderId="14" fillId="0" fontId="8" numFmtId="0" xfId="0" applyAlignment="1" applyBorder="1" applyFont="1">
      <alignment vertical="bottom"/>
    </xf>
    <xf borderId="15" fillId="0" fontId="6" numFmtId="0" xfId="0" applyBorder="1" applyFont="1"/>
    <xf borderId="16" fillId="0" fontId="6" numFmtId="0" xfId="0" applyBorder="1" applyFont="1"/>
    <xf borderId="6" fillId="4" fontId="9" numFmtId="0" xfId="0" applyAlignment="1" applyBorder="1" applyFill="1" applyFont="1">
      <alignment horizontal="center"/>
    </xf>
    <xf borderId="6" fillId="4" fontId="9" numFmtId="4" xfId="0" applyAlignment="1" applyBorder="1" applyFont="1" applyNumberFormat="1">
      <alignment horizontal="center"/>
    </xf>
    <xf borderId="7" fillId="4" fontId="9" numFmtId="4" xfId="0" applyAlignment="1" applyBorder="1" applyFont="1" applyNumberFormat="1">
      <alignment horizontal="center"/>
    </xf>
    <xf borderId="6" fillId="0" fontId="10" numFmtId="0" xfId="0" applyBorder="1" applyFont="1"/>
    <xf borderId="6" fillId="0" fontId="9" numFmtId="0" xfId="0" applyAlignment="1" applyBorder="1" applyFont="1">
      <alignment horizontal="center"/>
    </xf>
    <xf borderId="6" fillId="0" fontId="9" numFmtId="3" xfId="0" applyAlignment="1" applyBorder="1" applyFont="1" applyNumberFormat="1">
      <alignment horizontal="center"/>
    </xf>
    <xf borderId="6" fillId="0" fontId="9" numFmtId="4" xfId="0" applyAlignment="1" applyBorder="1" applyFont="1" applyNumberFormat="1">
      <alignment horizontal="center"/>
    </xf>
    <xf borderId="7" fillId="0" fontId="9" numFmtId="4" xfId="0" applyAlignment="1" applyBorder="1" applyFont="1" applyNumberFormat="1">
      <alignment horizontal="center"/>
    </xf>
    <xf borderId="17" fillId="4" fontId="8" numFmtId="0" xfId="0" applyAlignment="1" applyBorder="1" applyFont="1">
      <alignment horizontal="center" shrinkToFit="0" vertical="bottom" wrapText="1"/>
    </xf>
    <xf borderId="18" fillId="0" fontId="6" numFmtId="0" xfId="0" applyBorder="1" applyFont="1"/>
    <xf borderId="19" fillId="0" fontId="6" numFmtId="0" xfId="0" applyBorder="1" applyFont="1"/>
    <xf borderId="20" fillId="0" fontId="7" numFmtId="0" xfId="0" applyAlignment="1" applyBorder="1" applyFont="1">
      <alignment horizontal="center" shrinkToFit="0" textRotation="90" wrapText="1"/>
    </xf>
    <xf borderId="20" fillId="0" fontId="7" numFmtId="0" xfId="0" applyAlignment="1" applyBorder="1" applyFont="1">
      <alignment horizontal="center" textRotation="90"/>
    </xf>
    <xf borderId="6" fillId="0" fontId="9" numFmtId="0" xfId="0" applyAlignment="1" applyBorder="1" applyFont="1">
      <alignment horizontal="center" vertical="bottom"/>
    </xf>
    <xf borderId="6" fillId="0" fontId="9" numFmtId="4" xfId="0" applyAlignment="1" applyBorder="1" applyFont="1" applyNumberFormat="1">
      <alignment horizontal="center" vertical="bottom"/>
    </xf>
    <xf borderId="6" fillId="0" fontId="9" numFmtId="166" xfId="0" applyAlignment="1" applyBorder="1" applyFont="1" applyNumberFormat="1">
      <alignment horizontal="center" vertical="bottom"/>
    </xf>
    <xf borderId="7" fillId="0" fontId="9" numFmtId="4" xfId="0" applyAlignment="1" applyBorder="1" applyFont="1" applyNumberFormat="1">
      <alignment horizontal="center" vertical="bottom"/>
    </xf>
    <xf borderId="0" fillId="0" fontId="9" numFmtId="4" xfId="0" applyAlignment="1" applyFont="1" applyNumberFormat="1">
      <alignment horizontal="center" vertical="bottom"/>
    </xf>
    <xf borderId="21" fillId="0" fontId="6" numFmtId="0" xfId="0" applyBorder="1" applyFont="1"/>
    <xf borderId="22" fillId="0" fontId="6" numFmtId="0" xfId="0" applyBorder="1" applyFont="1"/>
    <xf borderId="17" fillId="0" fontId="11" numFmtId="0" xfId="0" applyAlignment="1" applyBorder="1" applyFont="1">
      <alignment horizontal="left" readingOrder="0" vertical="bottom"/>
    </xf>
    <xf borderId="23" fillId="0" fontId="6" numFmtId="0" xfId="0" applyBorder="1" applyFont="1"/>
    <xf borderId="6" fillId="0" fontId="9" numFmtId="10" xfId="0" applyAlignment="1" applyBorder="1" applyFont="1" applyNumberFormat="1">
      <alignment horizontal="center" vertical="bottom"/>
    </xf>
    <xf borderId="6" fillId="4" fontId="8" numFmtId="0" xfId="0" applyAlignment="1" applyBorder="1" applyFont="1">
      <alignment vertical="bottom"/>
    </xf>
    <xf borderId="6" fillId="4" fontId="10" numFmtId="0" xfId="0" applyAlignment="1" applyBorder="1" applyFont="1">
      <alignment vertical="bottom"/>
    </xf>
    <xf borderId="6" fillId="4" fontId="10" numFmtId="4" xfId="0" applyAlignment="1" applyBorder="1" applyFont="1" applyNumberFormat="1">
      <alignment vertical="bottom"/>
    </xf>
    <xf borderId="7" fillId="4" fontId="10" numFmtId="4" xfId="0" applyAlignment="1" applyBorder="1" applyFont="1" applyNumberFormat="1">
      <alignment vertical="bottom"/>
    </xf>
    <xf borderId="24" fillId="0" fontId="12" numFmtId="0" xfId="0" applyAlignment="1" applyBorder="1" applyFont="1">
      <alignment horizontal="left" readingOrder="0" vertical="bottom"/>
    </xf>
    <xf borderId="25" fillId="0" fontId="6" numFmtId="0" xfId="0" applyBorder="1" applyFont="1"/>
    <xf borderId="26" fillId="0" fontId="6" numFmtId="0" xfId="0" applyBorder="1" applyFont="1"/>
    <xf borderId="20" fillId="0" fontId="9" numFmtId="4" xfId="0" applyAlignment="1" applyBorder="1" applyFont="1" applyNumberFormat="1">
      <alignment horizontal="center" vertical="bottom"/>
    </xf>
    <xf borderId="20" fillId="0" fontId="9" numFmtId="10" xfId="0" applyAlignment="1" applyBorder="1" applyFont="1" applyNumberFormat="1">
      <alignment horizontal="center" vertical="bottom"/>
    </xf>
    <xf borderId="27" fillId="0" fontId="9" numFmtId="4" xfId="0" applyAlignment="1" applyBorder="1" applyFont="1" applyNumberFormat="1">
      <alignment horizontal="center" vertical="bottom"/>
    </xf>
    <xf borderId="28" fillId="0" fontId="8" numFmtId="0" xfId="0" applyAlignment="1" applyBorder="1" applyFont="1">
      <alignment horizontal="center" vertical="bottom"/>
    </xf>
    <xf borderId="29" fillId="0" fontId="6" numFmtId="0" xfId="0" applyBorder="1" applyFont="1"/>
    <xf borderId="30" fillId="0" fontId="6" numFmtId="0" xfId="0" applyBorder="1" applyFont="1"/>
    <xf borderId="1" fillId="0" fontId="9" numFmtId="4" xfId="0" applyAlignment="1" applyBorder="1" applyFont="1" applyNumberFormat="1">
      <alignment horizontal="center" vertical="bottom"/>
    </xf>
    <xf borderId="1" fillId="0" fontId="9" numFmtId="10" xfId="0" applyAlignment="1" applyBorder="1" applyFont="1" applyNumberFormat="1">
      <alignment horizontal="center" vertical="bottom"/>
    </xf>
    <xf borderId="0" fillId="0" fontId="9" numFmtId="4" xfId="0" applyAlignment="1" applyFont="1" applyNumberFormat="1">
      <alignment vertical="bottom"/>
    </xf>
    <xf borderId="22" fillId="4" fontId="8" numFmtId="0" xfId="0" applyAlignment="1" applyBorder="1" applyFont="1">
      <alignment readingOrder="0" vertical="bottom"/>
    </xf>
    <xf borderId="22" fillId="4" fontId="10" numFmtId="0" xfId="0" applyAlignment="1" applyBorder="1" applyFont="1">
      <alignment vertical="bottom"/>
    </xf>
    <xf borderId="22" fillId="4" fontId="10" numFmtId="4" xfId="0" applyAlignment="1" applyBorder="1" applyFont="1" applyNumberFormat="1">
      <alignment vertical="bottom"/>
    </xf>
    <xf borderId="31" fillId="4" fontId="10" numFmtId="4" xfId="0" applyAlignment="1" applyBorder="1" applyFont="1" applyNumberFormat="1">
      <alignment vertical="bottom"/>
    </xf>
    <xf borderId="6" fillId="0" fontId="9" numFmtId="4" xfId="0" applyAlignment="1" applyBorder="1" applyFont="1" applyNumberFormat="1">
      <alignment horizontal="center" readingOrder="0" vertical="bottom"/>
    </xf>
    <xf borderId="6" fillId="0" fontId="9" numFmtId="0" xfId="0" applyAlignment="1" applyBorder="1" applyFont="1">
      <alignment horizontal="center" readingOrder="0" vertical="bottom"/>
    </xf>
    <xf borderId="6" fillId="0" fontId="10" numFmtId="4" xfId="0" applyAlignment="1" applyBorder="1" applyFont="1" applyNumberFormat="1">
      <alignment vertical="bottom"/>
    </xf>
    <xf borderId="0" fillId="0" fontId="9" numFmtId="4" xfId="0" applyAlignment="1" applyFont="1" applyNumberFormat="1">
      <alignment horizontal="center" readingOrder="0" vertical="bottom"/>
    </xf>
    <xf borderId="6" fillId="0" fontId="9" numFmtId="0" xfId="0" applyAlignment="1" applyBorder="1" applyFont="1">
      <alignment horizontal="center" vertical="bottom"/>
    </xf>
    <xf borderId="6" fillId="4" fontId="8" numFmtId="0" xfId="0" applyAlignment="1" applyBorder="1" applyFont="1">
      <alignment vertical="bottom"/>
    </xf>
    <xf borderId="6" fillId="4" fontId="10" numFmtId="0" xfId="0" applyAlignment="1" applyBorder="1" applyFont="1">
      <alignment vertical="bottom"/>
    </xf>
    <xf borderId="20" fillId="0" fontId="7" numFmtId="0" xfId="0" applyAlignment="1" applyBorder="1" applyFont="1">
      <alignment horizontal="center" shrinkToFit="0" textRotation="90" wrapText="1"/>
    </xf>
    <xf borderId="20" fillId="0" fontId="7" numFmtId="0" xfId="0" applyAlignment="1" applyBorder="1" applyFont="1">
      <alignment horizontal="center" textRotation="90"/>
    </xf>
    <xf borderId="0" fillId="0" fontId="9" numFmtId="167" xfId="0" applyAlignment="1" applyFont="1" applyNumberFormat="1">
      <alignment horizontal="center" readingOrder="0" vertical="bottom"/>
    </xf>
    <xf borderId="6" fillId="0" fontId="9" numFmtId="2" xfId="0" applyAlignment="1" applyBorder="1" applyFont="1" applyNumberFormat="1">
      <alignment horizontal="center" vertical="bottom"/>
    </xf>
    <xf borderId="32" fillId="0" fontId="13" numFmtId="0" xfId="0" applyAlignment="1" applyBorder="1" applyFont="1">
      <alignment horizontal="left" readingOrder="0" vertical="bottom"/>
    </xf>
    <xf borderId="33" fillId="0" fontId="6" numFmtId="0" xfId="0" applyBorder="1" applyFont="1"/>
    <xf borderId="34" fillId="0" fontId="6" numFmtId="0" xfId="0" applyBorder="1" applyFont="1"/>
    <xf borderId="9" fillId="0" fontId="9" numFmtId="2" xfId="0" applyAlignment="1" applyBorder="1" applyFont="1" applyNumberFormat="1">
      <alignment horizontal="center" vertical="bottom"/>
    </xf>
    <xf borderId="9" fillId="0" fontId="9" numFmtId="10" xfId="0" applyAlignment="1" applyBorder="1" applyFont="1" applyNumberFormat="1">
      <alignment horizontal="center" vertical="bottom"/>
    </xf>
    <xf borderId="9" fillId="0" fontId="9" numFmtId="4" xfId="0" applyAlignment="1" applyBorder="1" applyFont="1" applyNumberFormat="1">
      <alignment horizontal="center" vertical="bottom"/>
    </xf>
    <xf borderId="10" fillId="0" fontId="9" numFmtId="4" xfId="0" applyAlignment="1" applyBorder="1" applyFont="1" applyNumberFormat="1">
      <alignment horizontal="center" vertical="bottom"/>
    </xf>
    <xf borderId="28" fillId="0" fontId="8" numFmtId="0" xfId="0" applyAlignment="1" applyBorder="1" applyFont="1">
      <alignment horizontal="center" readingOrder="0" vertical="bottom"/>
    </xf>
    <xf borderId="1" fillId="0" fontId="9" numFmtId="167" xfId="0" applyAlignment="1" applyBorder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10" numFmtId="4" xfId="0" applyAlignment="1" applyFont="1" applyNumberFormat="1">
      <alignment horizontal="center" vertical="bottom"/>
    </xf>
    <xf borderId="0" fillId="0" fontId="9" numFmtId="10" xfId="0" applyAlignment="1" applyFont="1" applyNumberFormat="1">
      <alignment horizontal="center" vertical="bottom"/>
    </xf>
    <xf borderId="35" fillId="0" fontId="10" numFmtId="4" xfId="0" applyAlignment="1" applyBorder="1" applyFont="1" applyNumberFormat="1">
      <alignment horizontal="center" vertical="bottom"/>
    </xf>
    <xf borderId="35" fillId="0" fontId="9" numFmtId="4" xfId="0" applyAlignment="1" applyBorder="1" applyFont="1" applyNumberFormat="1">
      <alignment horizontal="center" vertical="bottom"/>
    </xf>
    <xf borderId="28" fillId="0" fontId="2" numFmtId="0" xfId="0" applyAlignment="1" applyBorder="1" applyFont="1">
      <alignment readingOrder="0"/>
    </xf>
    <xf borderId="1" fillId="2" fontId="2" numFmtId="4" xfId="0" applyAlignment="1" applyBorder="1" applyFont="1" applyNumberFormat="1">
      <alignment horizontal="center"/>
    </xf>
    <xf borderId="0" fillId="0" fontId="2" numFmtId="4" xfId="0" applyAlignment="1" applyFont="1" applyNumberFormat="1">
      <alignment readingOrder="0"/>
    </xf>
    <xf borderId="28" fillId="0" fontId="2" numFmtId="0" xfId="0" applyAlignment="1" applyBorder="1" applyFont="1">
      <alignment horizontal="center" readingOrder="0"/>
    </xf>
    <xf borderId="28" fillId="0" fontId="2" numFmtId="4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/>
    </xf>
    <xf borderId="35" fillId="0" fontId="2" numFmtId="0" xfId="0" applyBorder="1" applyFont="1"/>
    <xf borderId="35" fillId="0" fontId="2" numFmtId="4" xfId="0" applyBorder="1" applyFont="1" applyNumberFormat="1"/>
    <xf borderId="35" fillId="0" fontId="2" numFmtId="4" xfId="0" applyAlignment="1" applyBorder="1" applyFont="1" applyNumberFormat="1">
      <alignment readingOrder="0"/>
    </xf>
    <xf borderId="0" fillId="0" fontId="10" numFmtId="4" xfId="0" applyAlignment="1" applyFont="1" applyNumberFormat="1">
      <alignment readingOrder="0" vertical="bottom"/>
    </xf>
    <xf borderId="0" fillId="0" fontId="9" numFmtId="0" xfId="0" applyAlignment="1" applyFont="1">
      <alignment horizontal="right" vertical="bottom"/>
    </xf>
    <xf borderId="0" fillId="0" fontId="9" numFmtId="166" xfId="0" applyAlignment="1" applyFont="1" applyNumberFormat="1">
      <alignment horizontal="center" vertical="bottom"/>
    </xf>
    <xf borderId="0" fillId="0" fontId="9" numFmtId="168" xfId="0" applyAlignment="1" applyFont="1" applyNumberFormat="1">
      <alignment horizontal="center" vertical="bottom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44.13"/>
    <col customWidth="1" min="3" max="4" width="22.13"/>
    <col customWidth="1" min="5" max="6" width="20.38"/>
    <col customWidth="1" min="7" max="7" width="23.13"/>
    <col customWidth="1" min="8" max="10" width="22.13"/>
    <col customWidth="1" min="11" max="11" width="17.63"/>
    <col customWidth="1" min="12" max="12" width="19.75"/>
    <col customWidth="1" min="13" max="13" width="22.13"/>
    <col customWidth="1" min="14" max="16" width="7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/>
      <c r="P1" s="1"/>
    </row>
    <row r="2">
      <c r="A2" s="3" t="s">
        <v>14</v>
      </c>
      <c r="B2" s="3" t="s">
        <v>15</v>
      </c>
      <c r="C2" s="3" t="s">
        <v>16</v>
      </c>
      <c r="D2" s="3" t="s">
        <v>16</v>
      </c>
      <c r="E2" s="3" t="s">
        <v>16</v>
      </c>
      <c r="F2" s="3" t="s">
        <v>16</v>
      </c>
      <c r="G2" s="4" t="s">
        <v>17</v>
      </c>
      <c r="H2" s="4" t="s">
        <v>17</v>
      </c>
      <c r="I2" s="4" t="s">
        <v>17</v>
      </c>
      <c r="J2" s="4" t="s">
        <v>17</v>
      </c>
      <c r="K2" s="4"/>
      <c r="L2" s="4" t="str">
        <f t="shared" ref="L2:L7" si="1">K2</f>
        <v/>
      </c>
      <c r="M2" s="5"/>
      <c r="N2" s="3" t="s">
        <v>18</v>
      </c>
      <c r="O2" s="3"/>
      <c r="P2" s="3"/>
    </row>
    <row r="3">
      <c r="A3" s="3" t="s">
        <v>14</v>
      </c>
      <c r="B3" s="3" t="s">
        <v>19</v>
      </c>
      <c r="C3" s="5">
        <f>4.17*'Жилищна част'!$E$337</f>
        <v>650.52</v>
      </c>
      <c r="D3" s="5">
        <f>4.17*'Жилищна част'!$E$337</f>
        <v>650.52</v>
      </c>
      <c r="E3" s="5">
        <f>4.17*'Жилищна част'!$E$337</f>
        <v>650.52</v>
      </c>
      <c r="F3" s="5">
        <f>5*'Жилищна част'!$E$337</f>
        <v>780</v>
      </c>
      <c r="G3" s="4" t="s">
        <v>17</v>
      </c>
      <c r="H3" s="4" t="s">
        <v>17</v>
      </c>
      <c r="I3" s="4" t="s">
        <v>17</v>
      </c>
      <c r="J3" s="4" t="s">
        <v>17</v>
      </c>
      <c r="K3" s="4"/>
      <c r="L3" s="4" t="str">
        <f t="shared" si="1"/>
        <v/>
      </c>
      <c r="M3" s="5"/>
      <c r="N3" s="3"/>
      <c r="O3" s="3"/>
      <c r="P3" s="3"/>
    </row>
    <row r="4">
      <c r="A4" s="3" t="s">
        <v>14</v>
      </c>
      <c r="B4" s="3" t="s">
        <v>20</v>
      </c>
      <c r="C4" s="5">
        <f>0.83*'Жилищна част'!$E$339</f>
        <v>43.16</v>
      </c>
      <c r="D4" s="5">
        <f>0.83*'Жилищна част'!$E$339</f>
        <v>43.16</v>
      </c>
      <c r="E4" s="5">
        <f>0.83*'Жилищна част'!$E$339</f>
        <v>43.16</v>
      </c>
      <c r="F4" s="5">
        <f>1*'Жилищна част'!$E$339</f>
        <v>52</v>
      </c>
      <c r="G4" s="4" t="s">
        <v>17</v>
      </c>
      <c r="H4" s="4" t="s">
        <v>17</v>
      </c>
      <c r="I4" s="4" t="s">
        <v>17</v>
      </c>
      <c r="J4" s="4" t="s">
        <v>17</v>
      </c>
      <c r="K4" s="4"/>
      <c r="L4" s="4" t="str">
        <f t="shared" si="1"/>
        <v/>
      </c>
      <c r="M4" s="5"/>
      <c r="N4" s="3"/>
      <c r="O4" s="3"/>
      <c r="P4" s="3"/>
    </row>
    <row r="5">
      <c r="A5" s="3" t="s">
        <v>14</v>
      </c>
      <c r="B5" s="3" t="s">
        <v>21</v>
      </c>
      <c r="C5" s="5">
        <f>2.08*'Жилищна част'!$E$340</f>
        <v>158.08</v>
      </c>
      <c r="D5" s="5">
        <f>2.08*'Жилищна част'!$E$340</f>
        <v>158.08</v>
      </c>
      <c r="E5" s="5">
        <f>2.08*'Жилищна част'!$E$340</f>
        <v>158.08</v>
      </c>
      <c r="F5" s="5">
        <f>2.5 * ('Жилищна част'!$E$340 + 'Жилищна част'!$E$338)</f>
        <v>232.5</v>
      </c>
      <c r="G5" s="4" t="s">
        <v>17</v>
      </c>
      <c r="H5" s="4" t="s">
        <v>17</v>
      </c>
      <c r="I5" s="4" t="s">
        <v>17</v>
      </c>
      <c r="J5" s="4" t="s">
        <v>17</v>
      </c>
      <c r="K5" s="4"/>
      <c r="L5" s="4" t="str">
        <f t="shared" si="1"/>
        <v/>
      </c>
      <c r="M5" s="5"/>
      <c r="N5" s="3"/>
      <c r="O5" s="3"/>
      <c r="P5" s="3"/>
    </row>
    <row r="6">
      <c r="A6" s="3" t="s">
        <v>14</v>
      </c>
      <c r="B6" s="3" t="s">
        <v>22</v>
      </c>
      <c r="C6" s="6" t="s">
        <v>17</v>
      </c>
      <c r="D6" s="6" t="s">
        <v>17</v>
      </c>
      <c r="E6" s="4" t="s">
        <v>17</v>
      </c>
      <c r="F6" s="4"/>
      <c r="G6" s="5">
        <v>1100.0</v>
      </c>
      <c r="H6" s="5">
        <f>G6</f>
        <v>1100</v>
      </c>
      <c r="I6" s="5">
        <f>10*'Жилищна част'!E337</f>
        <v>1560</v>
      </c>
      <c r="J6" s="5">
        <f>I6</f>
        <v>1560</v>
      </c>
      <c r="K6" s="5"/>
      <c r="L6" s="4" t="str">
        <f t="shared" si="1"/>
        <v/>
      </c>
      <c r="M6" s="5"/>
    </row>
    <row r="7">
      <c r="A7" s="3" t="s">
        <v>14</v>
      </c>
      <c r="B7" s="3" t="s">
        <v>23</v>
      </c>
      <c r="C7" s="6" t="s">
        <v>17</v>
      </c>
      <c r="D7" s="6" t="s">
        <v>17</v>
      </c>
      <c r="E7" s="6" t="s">
        <v>17</v>
      </c>
      <c r="F7" s="6"/>
      <c r="G7" s="6" t="s">
        <v>17</v>
      </c>
      <c r="H7" s="6" t="s">
        <v>17</v>
      </c>
      <c r="I7" s="6" t="s">
        <v>17</v>
      </c>
      <c r="J7" s="6" t="s">
        <v>17</v>
      </c>
      <c r="K7" s="5">
        <f>('Жилищна част'!E337*7+'Жилищна част'!E340*3)/1.2</f>
        <v>1100</v>
      </c>
      <c r="L7" s="4">
        <f t="shared" si="1"/>
        <v>1100</v>
      </c>
      <c r="M7" s="5"/>
      <c r="N7" s="3" t="s">
        <v>24</v>
      </c>
      <c r="O7" s="3"/>
      <c r="P7" s="3"/>
    </row>
    <row r="8">
      <c r="A8" s="3" t="s">
        <v>25</v>
      </c>
      <c r="B8" s="3" t="s">
        <v>26</v>
      </c>
      <c r="C8" s="5">
        <v>3500.0</v>
      </c>
      <c r="D8" s="7" t="s">
        <v>27</v>
      </c>
      <c r="E8" s="4" t="s">
        <v>17</v>
      </c>
      <c r="F8" s="5"/>
      <c r="G8" s="5">
        <v>3660.0</v>
      </c>
      <c r="H8" s="4" t="s">
        <v>17</v>
      </c>
      <c r="I8" s="4">
        <v>5400.0</v>
      </c>
      <c r="J8" s="4" t="s">
        <v>17</v>
      </c>
      <c r="K8" s="4">
        <f>7185.80631966458/1.2</f>
        <v>5988.171933</v>
      </c>
      <c r="L8" s="4" t="s">
        <v>17</v>
      </c>
      <c r="M8" s="5"/>
      <c r="N8" s="3" t="s">
        <v>28</v>
      </c>
      <c r="O8" s="3"/>
      <c r="P8" s="3"/>
    </row>
    <row r="9">
      <c r="A9" s="3" t="s">
        <v>29</v>
      </c>
      <c r="B9" s="3" t="s">
        <v>30</v>
      </c>
      <c r="C9" s="5">
        <v>2500.0</v>
      </c>
      <c r="D9" s="5">
        <v>2500.0</v>
      </c>
      <c r="E9" s="5">
        <v>2770.0</v>
      </c>
      <c r="F9" s="5">
        <f>3330/1.2</f>
        <v>2775</v>
      </c>
      <c r="G9" s="5">
        <f>2450+250</f>
        <v>2700</v>
      </c>
      <c r="H9" s="5">
        <f>G9</f>
        <v>2700</v>
      </c>
      <c r="I9" s="5">
        <v>1500.0</v>
      </c>
      <c r="J9" s="5">
        <f t="shared" ref="J9:J13" si="2">I9</f>
        <v>1500</v>
      </c>
      <c r="K9" s="5">
        <f>1740/1.2</f>
        <v>1450</v>
      </c>
      <c r="L9" s="4">
        <f t="shared" ref="L9:L13" si="3">K9</f>
        <v>1450</v>
      </c>
      <c r="M9" s="5"/>
      <c r="N9" s="3" t="s">
        <v>31</v>
      </c>
      <c r="O9" s="3"/>
      <c r="P9" s="3"/>
    </row>
    <row r="10">
      <c r="A10" s="3" t="s">
        <v>29</v>
      </c>
      <c r="B10" s="3" t="s">
        <v>32</v>
      </c>
      <c r="C10" s="5">
        <v>291.67</v>
      </c>
      <c r="D10" s="5">
        <v>291.67</v>
      </c>
      <c r="E10" s="5">
        <v>291.67</v>
      </c>
      <c r="F10" s="5">
        <f>370/1.2</f>
        <v>308.3333333</v>
      </c>
      <c r="G10" s="5">
        <v>600.0</v>
      </c>
      <c r="H10" s="5">
        <v>600.0</v>
      </c>
      <c r="I10" s="5">
        <v>650.0</v>
      </c>
      <c r="J10" s="5">
        <f t="shared" si="2"/>
        <v>650</v>
      </c>
      <c r="K10" s="5">
        <f>2*960/1.2</f>
        <v>1600</v>
      </c>
      <c r="L10" s="4">
        <f t="shared" si="3"/>
        <v>1600</v>
      </c>
      <c r="M10" s="5"/>
      <c r="N10" s="3" t="s">
        <v>33</v>
      </c>
      <c r="O10" s="3"/>
      <c r="P10" s="3"/>
    </row>
    <row r="11">
      <c r="A11" s="3" t="s">
        <v>34</v>
      </c>
      <c r="B11" s="3" t="s">
        <v>35</v>
      </c>
      <c r="C11" s="5">
        <v>916.67</v>
      </c>
      <c r="D11" s="5">
        <v>916.67</v>
      </c>
      <c r="E11" s="5">
        <v>916.67</v>
      </c>
      <c r="F11" s="5">
        <f>1140/1.2</f>
        <v>950</v>
      </c>
      <c r="G11" s="5">
        <v>675.0</v>
      </c>
      <c r="H11" s="5">
        <f t="shared" ref="H11:H16" si="4">G11</f>
        <v>675</v>
      </c>
      <c r="I11" s="5">
        <v>400.0</v>
      </c>
      <c r="J11" s="5">
        <f t="shared" si="2"/>
        <v>400</v>
      </c>
      <c r="K11" s="5">
        <f>690/1.2</f>
        <v>575</v>
      </c>
      <c r="L11" s="4">
        <f t="shared" si="3"/>
        <v>575</v>
      </c>
      <c r="M11" s="5"/>
      <c r="N11" s="3" t="s">
        <v>36</v>
      </c>
      <c r="O11" s="3"/>
      <c r="P11" s="3"/>
    </row>
    <row r="12">
      <c r="A12" s="3" t="s">
        <v>34</v>
      </c>
      <c r="B12" s="3" t="s">
        <v>37</v>
      </c>
      <c r="C12" s="4" t="s">
        <v>38</v>
      </c>
      <c r="D12" s="4" t="s">
        <v>38</v>
      </c>
      <c r="E12" s="4" t="s">
        <v>38</v>
      </c>
      <c r="F12" s="4" t="s">
        <v>38</v>
      </c>
      <c r="G12" s="5">
        <v>150.0</v>
      </c>
      <c r="H12" s="5">
        <f t="shared" si="4"/>
        <v>150</v>
      </c>
      <c r="I12" s="4" t="s">
        <v>38</v>
      </c>
      <c r="J12" s="4" t="str">
        <f t="shared" si="2"/>
        <v>(включено)</v>
      </c>
      <c r="K12" s="4" t="s">
        <v>17</v>
      </c>
      <c r="L12" s="4" t="str">
        <f t="shared" si="3"/>
        <v>—</v>
      </c>
      <c r="M12" s="5"/>
      <c r="N12" s="3" t="s">
        <v>39</v>
      </c>
      <c r="O12" s="3"/>
      <c r="P12" s="3"/>
    </row>
    <row r="13">
      <c r="A13" s="3" t="s">
        <v>40</v>
      </c>
      <c r="B13" s="3" t="s">
        <v>41</v>
      </c>
      <c r="C13" s="5">
        <v>583.33</v>
      </c>
      <c r="D13" s="5">
        <v>583.33</v>
      </c>
      <c r="E13" s="5">
        <v>583.33</v>
      </c>
      <c r="F13" s="5">
        <f>700/1.2</f>
        <v>583.3333333</v>
      </c>
      <c r="G13" s="4" t="s">
        <v>38</v>
      </c>
      <c r="H13" s="4" t="str">
        <f t="shared" si="4"/>
        <v>(включено)</v>
      </c>
      <c r="I13" s="4" t="s">
        <v>38</v>
      </c>
      <c r="J13" s="4" t="str">
        <f t="shared" si="2"/>
        <v>(включено)</v>
      </c>
      <c r="K13" s="4" t="s">
        <v>38</v>
      </c>
      <c r="L13" s="4" t="str">
        <f t="shared" si="3"/>
        <v>(включено)</v>
      </c>
      <c r="M13" s="5"/>
      <c r="N13" s="3" t="s">
        <v>42</v>
      </c>
      <c r="O13" s="3"/>
      <c r="P13" s="3"/>
    </row>
    <row r="14">
      <c r="A14" s="3" t="s">
        <v>40</v>
      </c>
      <c r="B14" s="3" t="s">
        <v>43</v>
      </c>
      <c r="C14" s="5">
        <v>630.0</v>
      </c>
      <c r="D14" s="5">
        <v>630.0</v>
      </c>
      <c r="E14" s="5">
        <f t="shared" ref="E14:F14" si="5">783/1.2</f>
        <v>652.5</v>
      </c>
      <c r="F14" s="5">
        <f t="shared" si="5"/>
        <v>652.5</v>
      </c>
      <c r="G14" s="5">
        <f t="shared" ref="G14:G16" si="7">E14</f>
        <v>652.5</v>
      </c>
      <c r="H14" s="5">
        <f t="shared" si="4"/>
        <v>652.5</v>
      </c>
      <c r="I14" s="5">
        <f t="shared" ref="I14:L14" si="6">H14</f>
        <v>652.5</v>
      </c>
      <c r="J14" s="5">
        <f t="shared" si="6"/>
        <v>652.5</v>
      </c>
      <c r="K14" s="5">
        <f t="shared" si="6"/>
        <v>652.5</v>
      </c>
      <c r="L14" s="4">
        <f t="shared" si="6"/>
        <v>652.5</v>
      </c>
      <c r="M14" s="5"/>
      <c r="N14" s="3" t="s">
        <v>44</v>
      </c>
      <c r="O14" s="3"/>
      <c r="P14" s="3"/>
    </row>
    <row r="15">
      <c r="A15" s="3" t="s">
        <v>45</v>
      </c>
      <c r="B15" s="3" t="s">
        <v>46</v>
      </c>
      <c r="C15" s="5">
        <v>739.73</v>
      </c>
      <c r="D15" s="5">
        <v>739.73</v>
      </c>
      <c r="E15" s="5">
        <v>739.73</v>
      </c>
      <c r="F15" s="5">
        <v>739.73</v>
      </c>
      <c r="G15" s="5">
        <f t="shared" si="7"/>
        <v>739.73</v>
      </c>
      <c r="H15" s="5">
        <f t="shared" si="4"/>
        <v>739.73</v>
      </c>
      <c r="I15" s="5">
        <f t="shared" ref="I15:L15" si="8">H15</f>
        <v>739.73</v>
      </c>
      <c r="J15" s="5">
        <f t="shared" si="8"/>
        <v>739.73</v>
      </c>
      <c r="K15" s="5">
        <f t="shared" si="8"/>
        <v>739.73</v>
      </c>
      <c r="L15" s="4">
        <f t="shared" si="8"/>
        <v>739.73</v>
      </c>
      <c r="M15" s="5"/>
      <c r="N15" s="3" t="s">
        <v>47</v>
      </c>
      <c r="O15" s="3"/>
      <c r="P15" s="3"/>
    </row>
    <row r="16">
      <c r="A16" s="3" t="s">
        <v>45</v>
      </c>
      <c r="B16" s="3" t="s">
        <v>48</v>
      </c>
      <c r="C16" s="5">
        <v>45.29</v>
      </c>
      <c r="D16" s="5">
        <v>45.29</v>
      </c>
      <c r="E16" s="5">
        <f t="shared" ref="E16:F16" si="9">D16</f>
        <v>45.29</v>
      </c>
      <c r="F16" s="5">
        <f t="shared" si="9"/>
        <v>45.29</v>
      </c>
      <c r="G16" s="5">
        <f t="shared" si="7"/>
        <v>45.29</v>
      </c>
      <c r="H16" s="5">
        <f t="shared" si="4"/>
        <v>45.29</v>
      </c>
      <c r="I16" s="5">
        <f t="shared" ref="I16:L16" si="10">H16</f>
        <v>45.29</v>
      </c>
      <c r="J16" s="5">
        <f t="shared" si="10"/>
        <v>45.29</v>
      </c>
      <c r="K16" s="5">
        <f t="shared" si="10"/>
        <v>45.29</v>
      </c>
      <c r="L16" s="4">
        <f t="shared" si="10"/>
        <v>45.29</v>
      </c>
      <c r="M16" s="5"/>
      <c r="N16" s="3" t="s">
        <v>47</v>
      </c>
      <c r="O16" s="3"/>
      <c r="P16" s="3"/>
    </row>
    <row r="17">
      <c r="A17" s="8" t="s">
        <v>49</v>
      </c>
      <c r="C17" s="9">
        <f t="shared" ref="C17:L17" si="11">SUM(C3:C16)</f>
        <v>10058.45</v>
      </c>
      <c r="D17" s="9">
        <f t="shared" si="11"/>
        <v>6558.45</v>
      </c>
      <c r="E17" s="9">
        <f t="shared" si="11"/>
        <v>6850.95</v>
      </c>
      <c r="F17" s="9">
        <f t="shared" si="11"/>
        <v>7118.686667</v>
      </c>
      <c r="G17" s="9">
        <f t="shared" si="11"/>
        <v>10322.52</v>
      </c>
      <c r="H17" s="9">
        <f t="shared" si="11"/>
        <v>6662.52</v>
      </c>
      <c r="I17" s="9">
        <f t="shared" si="11"/>
        <v>10947.52</v>
      </c>
      <c r="J17" s="9">
        <f t="shared" si="11"/>
        <v>5547.52</v>
      </c>
      <c r="K17" s="9">
        <f t="shared" si="11"/>
        <v>12150.69193</v>
      </c>
      <c r="L17" s="9">
        <f t="shared" si="11"/>
        <v>6162.52</v>
      </c>
      <c r="M17" s="9">
        <f>M19+M20</f>
        <v>17078.313</v>
      </c>
      <c r="N17" s="8" t="s">
        <v>50</v>
      </c>
      <c r="O17" s="8"/>
      <c r="P17" s="8"/>
    </row>
    <row r="18">
      <c r="A18" s="8"/>
      <c r="B18" s="10"/>
      <c r="C18" s="10"/>
      <c r="D18" s="10"/>
      <c r="E18" s="10"/>
      <c r="F18" s="10"/>
      <c r="G18" s="11"/>
      <c r="H18" s="11"/>
      <c r="I18" s="11"/>
      <c r="J18" s="11"/>
      <c r="K18" s="11"/>
      <c r="L18" s="11"/>
      <c r="M18" s="11"/>
      <c r="N18" s="10"/>
      <c r="O18" s="10"/>
      <c r="P18" s="10"/>
    </row>
    <row r="19">
      <c r="A19" s="8" t="s">
        <v>51</v>
      </c>
      <c r="C19" s="11">
        <f t="shared" ref="C19:F19" si="12">SUM(C3,C4,C8,C9,C11)</f>
        <v>7610.35</v>
      </c>
      <c r="D19" s="11">
        <f t="shared" si="12"/>
        <v>4110.35</v>
      </c>
      <c r="E19" s="11">
        <f t="shared" si="12"/>
        <v>4380.35</v>
      </c>
      <c r="F19" s="11">
        <f t="shared" si="12"/>
        <v>4557</v>
      </c>
      <c r="G19" s="11">
        <f t="shared" ref="G19:H19" si="13">SUM(G3,G4,G8,G9,G11,G12)</f>
        <v>7185</v>
      </c>
      <c r="H19" s="11">
        <f t="shared" si="13"/>
        <v>3525</v>
      </c>
      <c r="I19" s="11">
        <f t="shared" ref="I19:L19" si="14">SUM(I3,I4,I8,I9,I11)</f>
        <v>7300</v>
      </c>
      <c r="J19" s="11">
        <f t="shared" si="14"/>
        <v>1900</v>
      </c>
      <c r="K19" s="11">
        <f t="shared" si="14"/>
        <v>8013.171933</v>
      </c>
      <c r="L19" s="11">
        <f t="shared" si="14"/>
        <v>2025</v>
      </c>
      <c r="M19" s="11">
        <f>M23*'Жилищна част'!E335</f>
        <v>15593.703</v>
      </c>
      <c r="N19" s="10"/>
      <c r="O19" s="10"/>
      <c r="P19" s="10"/>
    </row>
    <row r="20">
      <c r="A20" s="8" t="s">
        <v>52</v>
      </c>
      <c r="C20" s="11">
        <f t="shared" ref="C20:L20" si="15">SUM(C10,C5)</f>
        <v>449.75</v>
      </c>
      <c r="D20" s="11">
        <f t="shared" si="15"/>
        <v>449.75</v>
      </c>
      <c r="E20" s="11">
        <f t="shared" si="15"/>
        <v>449.75</v>
      </c>
      <c r="F20" s="11">
        <f t="shared" si="15"/>
        <v>540.8333333</v>
      </c>
      <c r="G20" s="11">
        <f t="shared" si="15"/>
        <v>600</v>
      </c>
      <c r="H20" s="11">
        <f t="shared" si="15"/>
        <v>600</v>
      </c>
      <c r="I20" s="11">
        <f t="shared" si="15"/>
        <v>650</v>
      </c>
      <c r="J20" s="11">
        <f t="shared" si="15"/>
        <v>650</v>
      </c>
      <c r="K20" s="11">
        <f t="shared" si="15"/>
        <v>1600</v>
      </c>
      <c r="L20" s="11">
        <f t="shared" si="15"/>
        <v>1600</v>
      </c>
      <c r="M20" s="12">
        <f>M24*'Жилищна част'!E336</f>
        <v>1484.61</v>
      </c>
      <c r="N20" s="10"/>
      <c r="O20" s="10"/>
      <c r="P20" s="10"/>
    </row>
    <row r="21">
      <c r="A21" s="8" t="s">
        <v>53</v>
      </c>
      <c r="C21" s="11">
        <f t="shared" ref="C21:F21" si="16">SUM(C13,C15,C16,C14)</f>
        <v>1998.35</v>
      </c>
      <c r="D21" s="11">
        <f t="shared" si="16"/>
        <v>1998.35</v>
      </c>
      <c r="E21" s="11">
        <f t="shared" si="16"/>
        <v>2020.85</v>
      </c>
      <c r="F21" s="11">
        <f t="shared" si="16"/>
        <v>2020.853333</v>
      </c>
      <c r="G21" s="11">
        <f t="shared" ref="G21:J21" si="17">SUM(G13,G15,G16,G14,G6)</f>
        <v>2537.52</v>
      </c>
      <c r="H21" s="11">
        <f t="shared" si="17"/>
        <v>2537.52</v>
      </c>
      <c r="I21" s="11">
        <f t="shared" si="17"/>
        <v>2997.52</v>
      </c>
      <c r="J21" s="11">
        <f t="shared" si="17"/>
        <v>2997.52</v>
      </c>
      <c r="K21" s="11">
        <f t="shared" ref="K21:L21" si="18">SUM(K13,K15,K16,K14,K7)</f>
        <v>2537.52</v>
      </c>
      <c r="L21" s="11">
        <f t="shared" si="18"/>
        <v>2537.52</v>
      </c>
      <c r="M21" s="9">
        <v>0.0</v>
      </c>
      <c r="N21" s="10"/>
      <c r="O21" s="10"/>
      <c r="P21" s="10"/>
    </row>
    <row r="22">
      <c r="G22" s="13"/>
      <c r="H22" s="13"/>
      <c r="I22" s="13"/>
      <c r="J22" s="13"/>
      <c r="K22" s="13"/>
      <c r="L22" s="13"/>
      <c r="M22" s="13"/>
    </row>
    <row r="23">
      <c r="A23" s="14" t="s">
        <v>54</v>
      </c>
      <c r="B23" s="15"/>
      <c r="C23" s="16">
        <f>C19/'Жилищна част'!$E$335+C21/('Жилищна част'!$E$335+'Жилищна част'!$E$336)</f>
        <v>0.5376983916</v>
      </c>
      <c r="D23" s="16">
        <f>D19/'Жилищна част'!$E$335+D21/('Жилищна част'!$E$335+'Жилищна част'!$E$336)</f>
        <v>0.3356937748</v>
      </c>
      <c r="E23" s="16">
        <f>E19/'Жилищна част'!$E$335+E21/('Жилищна част'!$E$335+'Жилищна част'!$E$336)</f>
        <v>0.3523856051</v>
      </c>
      <c r="F23" s="16">
        <f>F19/'Жилищна част'!$E$335+F21/('Жилищна част'!$E$335+'Жилищна част'!$E$336)</f>
        <v>0.3625812309</v>
      </c>
      <c r="G23" s="16">
        <f>G19/'Жилищна част'!$E$335+G21/('Жилищна част'!$E$335+'Жилищна част'!$E$336)</f>
        <v>0.5397149725</v>
      </c>
      <c r="H23" s="16">
        <f>H19/'Жилищна част'!$E$335+H21/('Жилищна част'!$E$335+'Жилищна част'!$E$336)</f>
        <v>0.3284758588</v>
      </c>
      <c r="I23" s="16">
        <f>I19/'Жилищна част'!$E$335+I21/('Жилищна част'!$E$335+'Жилищна част'!$E$336)</f>
        <v>0.5690173266</v>
      </c>
      <c r="J23" s="16">
        <f>J19/'Жилищна част'!$E$335+J21/('Жилищна част'!$E$335+'Жилищна част'!$E$336)</f>
        <v>0.2573530605</v>
      </c>
      <c r="K23" s="16">
        <f>K19/'Жилищна част'!$E$335+K21/('Жилищна част'!$E$335+'Жилищна част'!$E$336)</f>
        <v>0.5875134165</v>
      </c>
      <c r="L23" s="16">
        <f>L19/'Жилищна част'!$E$335+L21/('Жилищна част'!$E$335+'Жилищна част'!$E$336)</f>
        <v>0.2419024516</v>
      </c>
      <c r="M23" s="17">
        <f>0.9</f>
        <v>0.9</v>
      </c>
      <c r="N23" s="15"/>
      <c r="O23" s="15"/>
      <c r="P23" s="15"/>
    </row>
    <row r="24">
      <c r="A24" s="14" t="s">
        <v>55</v>
      </c>
      <c r="B24" s="15"/>
      <c r="C24" s="18">
        <f>(C20)/'Жилищна част'!$E$336+C21/('Жилищна част'!$E$336+'Жилищна част'!$E$335)</f>
        <v>0.2499331951</v>
      </c>
      <c r="D24" s="18">
        <f>(D20)/'Жилищна част'!$E$336+D21/('Жилищна част'!$E$336+'Жилищна част'!$E$335)</f>
        <v>0.2499331951</v>
      </c>
      <c r="E24" s="16">
        <f>(E20)/'Жилищна част'!$E$336+E21/('Жилищна част'!$E$336+'Жилищна част'!$E$335)</f>
        <v>0.2510418122</v>
      </c>
      <c r="F24" s="18">
        <f>(F20)/'Жилищна част'!$E$336+F21/('Жилищна част'!$E$336+'Жилищна част'!$E$335)</f>
        <v>0.2817178217</v>
      </c>
      <c r="G24" s="18">
        <f>(G20)/'Жилищна част'!$E$336+G21/('Жилищна част'!$E$336+'Жилищна част'!$E$335)</f>
        <v>0.3271016236</v>
      </c>
      <c r="H24" s="18">
        <f>(H20)/'Жилищна част'!$E$336+H21/('Жилищна част'!$E$336+'Жилищна част'!$E$335)</f>
        <v>0.3271016236</v>
      </c>
      <c r="I24" s="18">
        <f>(I20)/'Жилищна част'!$E$336+I21/('Жилищна част'!$E$336+'Жилищна част'!$E$335)</f>
        <v>0.3666061225</v>
      </c>
      <c r="J24" s="18">
        <f>(J20)/'Жилищна част'!$E$336+J21/('Жилищна част'!$E$336+'Жилищна част'!$E$335)</f>
        <v>0.3666061225</v>
      </c>
      <c r="K24" s="18">
        <f>(K20)/'Жилищна част'!$E$336+K21/('Жилищна част'!$E$336+'Жилищна част'!$E$335)</f>
        <v>0.6638904099</v>
      </c>
      <c r="L24" s="18">
        <f>(L20)/'Жилищна част'!$E$336+L21/('Жилищна част'!$E$336+'Жилищна част'!$E$335)</f>
        <v>0.6638904099</v>
      </c>
      <c r="M24" s="19">
        <f>0.5</f>
        <v>0.5</v>
      </c>
      <c r="N24" s="15"/>
      <c r="O24" s="15"/>
      <c r="P24" s="15"/>
    </row>
    <row r="25">
      <c r="C25" s="13">
        <f>C24*'Жилищна част'!$E$336 + C23*'Жилищна част'!$E$335</f>
        <v>10058.45</v>
      </c>
      <c r="D25" s="13">
        <f>D24*'Жилищна част'!$E$336 + D23*'Жилищна част'!$E$335</f>
        <v>6558.45</v>
      </c>
      <c r="E25" s="20">
        <f>E24*'Жилищна част'!$E$336 + E23*'Жилищна част'!$E$335</f>
        <v>6850.95</v>
      </c>
      <c r="F25" s="13">
        <f>F24*'Жилищна част'!$E$336 + F23*'Жилищна част'!$E$335</f>
        <v>7118.686667</v>
      </c>
      <c r="G25" s="13">
        <f>G24*'Жилищна част'!$E$336 + G23*'Жилищна част'!$E$335</f>
        <v>10322.52</v>
      </c>
      <c r="H25" s="13">
        <f>H24*'Жилищна част'!$E$336 + H23*'Жилищна част'!$E$335</f>
        <v>6662.52</v>
      </c>
      <c r="I25" s="13">
        <f>I24*'Жилищна част'!$E$336 + I23*'Жилищна част'!$E$335</f>
        <v>10947.52</v>
      </c>
      <c r="J25" s="13">
        <f>J24*'Жилищна част'!$E$336 + J23*'Жилищна част'!$E$335</f>
        <v>5547.52</v>
      </c>
      <c r="K25" s="13">
        <f>K24*'Жилищна част'!$E$336 + K23*'Жилищна част'!$E$335</f>
        <v>12150.69193</v>
      </c>
      <c r="L25" s="13">
        <f>L24*'Жилищна част'!$E$336 + L23*'Жилищна част'!$E$335</f>
        <v>6162.52</v>
      </c>
      <c r="M25" s="20">
        <f>M24*'Жилищна част'!$E$336 + M23*'Жилищна част'!$E$335</f>
        <v>17078.313</v>
      </c>
    </row>
    <row r="26">
      <c r="A26" s="3" t="s">
        <v>56</v>
      </c>
      <c r="C26" s="21" t="str">
        <f t="shared" ref="C26:M26" si="19">IF(C17=C25, "OK", "WRONG")</f>
        <v>OK</v>
      </c>
      <c r="D26" s="21" t="str">
        <f t="shared" si="19"/>
        <v>OK</v>
      </c>
      <c r="E26" s="21" t="str">
        <f t="shared" si="19"/>
        <v>OK</v>
      </c>
      <c r="F26" s="21" t="str">
        <f t="shared" si="19"/>
        <v>OK</v>
      </c>
      <c r="G26" s="21" t="str">
        <f t="shared" si="19"/>
        <v>OK</v>
      </c>
      <c r="H26" s="21" t="str">
        <f t="shared" si="19"/>
        <v>OK</v>
      </c>
      <c r="I26" s="21" t="str">
        <f t="shared" si="19"/>
        <v>OK</v>
      </c>
      <c r="J26" s="21" t="str">
        <f t="shared" si="19"/>
        <v>OK</v>
      </c>
      <c r="K26" s="21" t="str">
        <f t="shared" si="19"/>
        <v>OK</v>
      </c>
      <c r="L26" s="21" t="str">
        <f t="shared" si="19"/>
        <v>OK</v>
      </c>
      <c r="M26" s="21" t="str">
        <f t="shared" si="19"/>
        <v>OK</v>
      </c>
    </row>
    <row r="27">
      <c r="G27" s="13"/>
      <c r="H27" s="13"/>
      <c r="I27" s="13"/>
      <c r="J27" s="13"/>
      <c r="K27" s="13"/>
      <c r="L27" s="13"/>
      <c r="M27" s="13"/>
    </row>
    <row r="28">
      <c r="A28" s="3" t="s">
        <v>57</v>
      </c>
      <c r="B28" s="3" t="s">
        <v>58</v>
      </c>
      <c r="C28" s="5">
        <v>2138.0</v>
      </c>
      <c r="D28" s="5">
        <v>2138.0</v>
      </c>
      <c r="E28" s="5">
        <v>2138.0</v>
      </c>
      <c r="F28" s="5">
        <v>2138.0</v>
      </c>
      <c r="G28" s="5">
        <v>2138.0</v>
      </c>
      <c r="H28" s="5">
        <v>2138.0</v>
      </c>
      <c r="I28" s="5">
        <v>2138.0</v>
      </c>
      <c r="J28" s="5">
        <v>2138.0</v>
      </c>
      <c r="K28" s="5">
        <v>2138.0</v>
      </c>
      <c r="L28" s="5">
        <v>2138.0</v>
      </c>
      <c r="M28" s="5">
        <v>2138.0</v>
      </c>
      <c r="N28" s="3"/>
      <c r="O28" s="3"/>
      <c r="P28" s="3"/>
    </row>
    <row r="29">
      <c r="A29" s="3" t="s">
        <v>57</v>
      </c>
      <c r="B29" s="3" t="s">
        <v>59</v>
      </c>
      <c r="C29" s="5">
        <f t="shared" ref="C29:M29" si="20">125*3</f>
        <v>375</v>
      </c>
      <c r="D29" s="5">
        <f t="shared" si="20"/>
        <v>375</v>
      </c>
      <c r="E29" s="5">
        <f t="shared" si="20"/>
        <v>375</v>
      </c>
      <c r="F29" s="5">
        <f t="shared" si="20"/>
        <v>375</v>
      </c>
      <c r="G29" s="5">
        <f t="shared" si="20"/>
        <v>375</v>
      </c>
      <c r="H29" s="5">
        <f t="shared" si="20"/>
        <v>375</v>
      </c>
      <c r="I29" s="5">
        <f t="shared" si="20"/>
        <v>375</v>
      </c>
      <c r="J29" s="5">
        <f t="shared" si="20"/>
        <v>375</v>
      </c>
      <c r="K29" s="5">
        <f t="shared" si="20"/>
        <v>375</v>
      </c>
      <c r="L29" s="5">
        <f t="shared" si="20"/>
        <v>375</v>
      </c>
      <c r="M29" s="5">
        <f t="shared" si="20"/>
        <v>375</v>
      </c>
      <c r="N29" s="3"/>
      <c r="O29" s="3"/>
      <c r="P29" s="3"/>
    </row>
    <row r="30">
      <c r="A30" s="3"/>
      <c r="B30" s="3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3"/>
      <c r="O30" s="3"/>
      <c r="P30" s="3"/>
    </row>
    <row r="31">
      <c r="A31" s="14" t="s">
        <v>60</v>
      </c>
      <c r="B31" s="15"/>
      <c r="C31" s="16">
        <f>C28/'Жилищна част'!$E$335</f>
        <v>0.1233959631</v>
      </c>
      <c r="D31" s="16">
        <f>D28/'Жилищна част'!$E$335</f>
        <v>0.1233959631</v>
      </c>
      <c r="E31" s="16">
        <f>E28/'Жилищна част'!$E$335</f>
        <v>0.1233959631</v>
      </c>
      <c r="F31" s="16">
        <f>F28/'Жилищна част'!$E$335</f>
        <v>0.1233959631</v>
      </c>
      <c r="G31" s="16">
        <f>G28/'Жилищна част'!$E$335</f>
        <v>0.1233959631</v>
      </c>
      <c r="H31" s="16">
        <f>H28/'Жилищна част'!$E$335</f>
        <v>0.1233959631</v>
      </c>
      <c r="I31" s="16">
        <f>I28/'Жилищна част'!$E$335</f>
        <v>0.1233959631</v>
      </c>
      <c r="J31" s="16">
        <f>J28/'Жилищна част'!$E$335</f>
        <v>0.1233959631</v>
      </c>
      <c r="K31" s="16">
        <f>K28/'Жилищна част'!$E$335</f>
        <v>0.1233959631</v>
      </c>
      <c r="L31" s="16">
        <f>L28/'Жилищна част'!$E$335</f>
        <v>0.1233959631</v>
      </c>
      <c r="M31" s="16">
        <f>M28/'Жилищна част'!$E$335</f>
        <v>0.1233959631</v>
      </c>
      <c r="N31" s="15"/>
      <c r="O31" s="15"/>
      <c r="P31" s="15"/>
    </row>
    <row r="32">
      <c r="A32" s="14" t="s">
        <v>61</v>
      </c>
      <c r="B32" s="15"/>
      <c r="C32" s="16">
        <f>C29/'Жилищна част'!$E$336</f>
        <v>0.1262957949</v>
      </c>
      <c r="D32" s="18">
        <f>D29/'Жилищна част'!$E$336</f>
        <v>0.1262957949</v>
      </c>
      <c r="E32" s="18">
        <f>E29/'Жилищна част'!$E$336</f>
        <v>0.1262957949</v>
      </c>
      <c r="F32" s="18">
        <f>F29/'Жилищна част'!$E$336</f>
        <v>0.1262957949</v>
      </c>
      <c r="G32" s="18">
        <f>G29/'Жилищна част'!$E$336</f>
        <v>0.1262957949</v>
      </c>
      <c r="H32" s="18">
        <f>H29/'Жилищна част'!$E$336</f>
        <v>0.1262957949</v>
      </c>
      <c r="I32" s="18">
        <f>I29/'Жилищна част'!$E$336</f>
        <v>0.1262957949</v>
      </c>
      <c r="J32" s="18">
        <f>J29/'Жилищна част'!$E$336</f>
        <v>0.1262957949</v>
      </c>
      <c r="K32" s="18">
        <f>K29/'Жилищна част'!$E$336</f>
        <v>0.1262957949</v>
      </c>
      <c r="L32" s="18">
        <f>L29/'Жилищна част'!$E$336</f>
        <v>0.1262957949</v>
      </c>
      <c r="M32" s="18">
        <f>M29/'Жилищна част'!$E$336</f>
        <v>0.1262957949</v>
      </c>
      <c r="N32" s="15"/>
      <c r="O32" s="15"/>
      <c r="P32" s="15"/>
    </row>
    <row r="33">
      <c r="G33" s="13"/>
      <c r="H33" s="13"/>
      <c r="I33" s="13"/>
      <c r="J33" s="13"/>
      <c r="K33" s="13"/>
      <c r="L33" s="13"/>
      <c r="M33" s="13"/>
    </row>
    <row r="34">
      <c r="A34" s="8" t="s">
        <v>62</v>
      </c>
      <c r="D34" s="21">
        <f>370 / 72</f>
        <v>5.138888889</v>
      </c>
      <c r="E34" s="3">
        <v>1230.0</v>
      </c>
      <c r="F34" s="3"/>
      <c r="G34" s="5">
        <v>1000.0</v>
      </c>
      <c r="H34" s="22">
        <v>0.3862</v>
      </c>
      <c r="I34" s="13">
        <f>G34*H34</f>
        <v>386.2</v>
      </c>
      <c r="J34" s="13"/>
      <c r="K34" s="13"/>
      <c r="L34" s="13"/>
      <c r="M34" s="13"/>
    </row>
    <row r="35">
      <c r="A35" s="3" t="s">
        <v>63</v>
      </c>
      <c r="D35" s="3">
        <v>700.0</v>
      </c>
      <c r="E35" s="3">
        <v>700.0</v>
      </c>
      <c r="F35" s="3"/>
      <c r="G35" s="13"/>
      <c r="H35" s="13"/>
      <c r="I35" s="13"/>
      <c r="J35" s="13"/>
      <c r="K35" s="13"/>
      <c r="L35" s="13"/>
      <c r="M35" s="13"/>
    </row>
    <row r="36">
      <c r="D36" s="3">
        <v>700.0</v>
      </c>
      <c r="E36" s="21">
        <f>3 * 1230</f>
        <v>3690</v>
      </c>
      <c r="G36" s="13"/>
      <c r="H36" s="5">
        <v>3330.0</v>
      </c>
      <c r="I36" s="13"/>
      <c r="J36" s="13"/>
      <c r="K36" s="13"/>
      <c r="L36" s="13"/>
      <c r="M36" s="13"/>
    </row>
    <row r="37">
      <c r="D37" s="3"/>
      <c r="G37" s="13"/>
      <c r="H37" s="5"/>
      <c r="I37" s="13"/>
      <c r="J37" s="13"/>
      <c r="K37" s="13"/>
      <c r="L37" s="13"/>
      <c r="M37" s="13"/>
    </row>
    <row r="39">
      <c r="A39" s="23" t="s">
        <v>64</v>
      </c>
      <c r="B39" s="24" t="s">
        <v>65</v>
      </c>
      <c r="C39" s="25" t="s">
        <v>66</v>
      </c>
      <c r="D39" s="25" t="s">
        <v>29</v>
      </c>
      <c r="E39" s="25" t="s">
        <v>67</v>
      </c>
      <c r="F39" s="25"/>
      <c r="G39" s="25" t="s">
        <v>46</v>
      </c>
      <c r="H39" s="25" t="s">
        <v>48</v>
      </c>
      <c r="I39" s="25" t="s">
        <v>68</v>
      </c>
      <c r="J39" s="25" t="s">
        <v>69</v>
      </c>
      <c r="K39" s="24" t="s">
        <v>70</v>
      </c>
      <c r="L39" s="24" t="s">
        <v>71</v>
      </c>
      <c r="M39" s="26" t="s">
        <v>72</v>
      </c>
    </row>
    <row r="40">
      <c r="A40" s="27">
        <v>17326.34</v>
      </c>
      <c r="B40" s="24" t="s">
        <v>73</v>
      </c>
      <c r="C40" s="28">
        <v>874.5</v>
      </c>
      <c r="D40" s="29">
        <v>3330.0</v>
      </c>
      <c r="E40" s="29">
        <v>595.0</v>
      </c>
      <c r="F40" s="29"/>
      <c r="G40" s="29">
        <v>629.0</v>
      </c>
      <c r="H40" s="29">
        <v>45.0</v>
      </c>
      <c r="I40" s="29">
        <v>756.0</v>
      </c>
      <c r="J40" s="29">
        <v>1140.0</v>
      </c>
      <c r="K40" s="30">
        <v>2138.0</v>
      </c>
      <c r="L40" s="31">
        <f t="shared" ref="L40:L43" si="21">sum(C40:K40)</f>
        <v>9507.5</v>
      </c>
      <c r="M40" s="32">
        <f t="shared" ref="M40:M43" si="22">K40*12</f>
        <v>25656</v>
      </c>
    </row>
    <row r="41">
      <c r="A41" s="27">
        <v>1082.75</v>
      </c>
      <c r="B41" s="24" t="s">
        <v>74</v>
      </c>
      <c r="C41" s="33">
        <v>67.5</v>
      </c>
      <c r="D41" s="34">
        <v>123.333</v>
      </c>
      <c r="E41" s="34">
        <v>35.0</v>
      </c>
      <c r="F41" s="34"/>
      <c r="G41" s="34">
        <v>37.0</v>
      </c>
      <c r="H41" s="35"/>
      <c r="I41" s="35"/>
      <c r="J41" s="35"/>
      <c r="K41" s="36">
        <v>125.0</v>
      </c>
      <c r="L41" s="31">
        <f t="shared" si="21"/>
        <v>387.833</v>
      </c>
      <c r="M41" s="32">
        <f t="shared" si="22"/>
        <v>1500</v>
      </c>
    </row>
    <row r="42">
      <c r="A42" s="27">
        <v>813.48</v>
      </c>
      <c r="B42" s="24" t="s">
        <v>75</v>
      </c>
      <c r="C42" s="33">
        <v>50.0</v>
      </c>
      <c r="D42" s="34">
        <v>123.333</v>
      </c>
      <c r="E42" s="34">
        <v>35.0</v>
      </c>
      <c r="F42" s="34"/>
      <c r="G42" s="34">
        <v>37.0</v>
      </c>
      <c r="H42" s="35"/>
      <c r="I42" s="35"/>
      <c r="J42" s="35"/>
      <c r="K42" s="36">
        <v>125.0</v>
      </c>
      <c r="L42" s="31">
        <f t="shared" si="21"/>
        <v>370.333</v>
      </c>
      <c r="M42" s="32">
        <f t="shared" si="22"/>
        <v>1500</v>
      </c>
    </row>
    <row r="43">
      <c r="A43" s="27">
        <v>1072.99</v>
      </c>
      <c r="B43" s="24" t="s">
        <v>76</v>
      </c>
      <c r="C43" s="37">
        <v>72.5</v>
      </c>
      <c r="D43" s="38">
        <v>123.333</v>
      </c>
      <c r="E43" s="38">
        <v>35.0</v>
      </c>
      <c r="F43" s="38"/>
      <c r="G43" s="38">
        <v>37.0</v>
      </c>
      <c r="H43" s="39"/>
      <c r="I43" s="39"/>
      <c r="J43" s="39"/>
      <c r="K43" s="40">
        <v>125.0</v>
      </c>
      <c r="L43" s="31">
        <f t="shared" si="21"/>
        <v>392.833</v>
      </c>
      <c r="M43" s="32">
        <f t="shared" si="22"/>
        <v>1500</v>
      </c>
    </row>
    <row r="44">
      <c r="A44" s="41"/>
      <c r="B44" s="24" t="s">
        <v>71</v>
      </c>
      <c r="C44" s="31">
        <f t="shared" ref="C44:E44" si="23">sum(C40:C43)</f>
        <v>1064.5</v>
      </c>
      <c r="D44" s="31">
        <f t="shared" si="23"/>
        <v>3699.999</v>
      </c>
      <c r="E44" s="31">
        <f t="shared" si="23"/>
        <v>700</v>
      </c>
      <c r="F44" s="31"/>
      <c r="G44" s="31">
        <f t="shared" ref="G44:L44" si="24">sum(G40:G43)</f>
        <v>740</v>
      </c>
      <c r="H44" s="31">
        <f t="shared" si="24"/>
        <v>45</v>
      </c>
      <c r="I44" s="31">
        <f t="shared" si="24"/>
        <v>756</v>
      </c>
      <c r="J44" s="31">
        <f t="shared" si="24"/>
        <v>1140</v>
      </c>
      <c r="K44" s="31">
        <f t="shared" si="24"/>
        <v>2513</v>
      </c>
      <c r="L44" s="31">
        <f t="shared" si="24"/>
        <v>10658.499</v>
      </c>
      <c r="M44" s="42"/>
    </row>
    <row r="45">
      <c r="A45" s="43">
        <f>sum(A41:A43) / sum(A40:A43)</f>
        <v>0.1462989935</v>
      </c>
      <c r="B45" s="42"/>
      <c r="C45" s="43">
        <f t="shared" ref="C45:E45" si="25">sum(C41:C43) / sum(C40:C43)</f>
        <v>0.1784875528</v>
      </c>
      <c r="D45" s="43">
        <f t="shared" si="25"/>
        <v>0.09999975676</v>
      </c>
      <c r="E45" s="43">
        <f t="shared" si="25"/>
        <v>0.15</v>
      </c>
      <c r="F45" s="43"/>
      <c r="G45" s="43">
        <f>sum(G41:G43) / sum(G40:G43)</f>
        <v>0.15</v>
      </c>
      <c r="H45" s="44"/>
      <c r="I45" s="44"/>
      <c r="J45" s="44"/>
      <c r="K45" s="43">
        <f>sum(K41:K43) / sum(K40:K43)</f>
        <v>0.149224035</v>
      </c>
      <c r="L45" s="42"/>
      <c r="M45" s="42"/>
    </row>
    <row r="46">
      <c r="A46" s="41"/>
      <c r="B46" s="42"/>
      <c r="C46" s="45"/>
      <c r="D46" s="45"/>
      <c r="E46" s="45"/>
      <c r="F46" s="45"/>
      <c r="G46" s="45"/>
      <c r="H46" s="45"/>
      <c r="I46" s="45"/>
      <c r="J46" s="45"/>
      <c r="K46" s="42"/>
      <c r="L46" s="42"/>
      <c r="M46" s="42"/>
    </row>
    <row r="47">
      <c r="A47" s="41"/>
      <c r="B47" s="42"/>
      <c r="C47" s="45"/>
      <c r="D47" s="45"/>
      <c r="E47" s="45"/>
      <c r="F47" s="45"/>
      <c r="G47" s="45"/>
      <c r="H47" s="45"/>
      <c r="I47" s="45"/>
      <c r="J47" s="45"/>
      <c r="K47" s="42"/>
      <c r="L47" s="42"/>
      <c r="M47" s="42"/>
    </row>
    <row r="48">
      <c r="A48" s="41"/>
      <c r="B48" s="42"/>
      <c r="C48" s="45"/>
      <c r="D48" s="45"/>
      <c r="E48" s="45"/>
      <c r="F48" s="45"/>
      <c r="G48" s="45"/>
      <c r="H48" s="45"/>
      <c r="I48" s="45"/>
      <c r="J48" s="45"/>
      <c r="K48" s="42"/>
      <c r="L48" s="42"/>
      <c r="M48" s="42"/>
    </row>
    <row r="49">
      <c r="A49" s="41"/>
      <c r="B49" s="42"/>
      <c r="C49" s="45"/>
      <c r="D49" s="45"/>
      <c r="E49" s="45"/>
      <c r="F49" s="45"/>
      <c r="G49" s="45"/>
      <c r="H49" s="45"/>
      <c r="I49" s="45"/>
      <c r="J49" s="45"/>
      <c r="K49" s="42"/>
      <c r="L49" s="42"/>
      <c r="M49" s="42"/>
      <c r="N49" s="42"/>
      <c r="O49" s="42"/>
      <c r="P49" s="42"/>
    </row>
  </sheetData>
  <mergeCells count="4">
    <mergeCell ref="A17:B17"/>
    <mergeCell ref="A19:B19"/>
    <mergeCell ref="A20:B20"/>
    <mergeCell ref="A21:B21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.75"/>
    <col customWidth="1" min="3" max="3" width="8.63"/>
    <col customWidth="1" min="4" max="4" width="15.38"/>
    <col customWidth="1" min="5" max="5" width="8.38"/>
    <col customWidth="1" min="6" max="9" width="8.63"/>
  </cols>
  <sheetData>
    <row r="1">
      <c r="A1" s="46" t="s">
        <v>77</v>
      </c>
      <c r="B1" s="47"/>
      <c r="C1" s="47"/>
      <c r="D1" s="47"/>
      <c r="E1" s="47"/>
      <c r="F1" s="47"/>
      <c r="G1" s="47"/>
      <c r="H1" s="48"/>
      <c r="I1" s="49"/>
    </row>
    <row r="2">
      <c r="A2" s="50" t="s">
        <v>78</v>
      </c>
      <c r="B2" s="47"/>
      <c r="C2" s="47"/>
      <c r="D2" s="47"/>
      <c r="E2" s="47"/>
      <c r="F2" s="47"/>
      <c r="G2" s="47"/>
      <c r="H2" s="48"/>
      <c r="I2" s="49"/>
    </row>
    <row r="3">
      <c r="A3" s="51" t="s">
        <v>79</v>
      </c>
      <c r="B3" s="47"/>
      <c r="C3" s="47"/>
      <c r="D3" s="47"/>
      <c r="E3" s="47"/>
      <c r="F3" s="47"/>
      <c r="G3" s="47"/>
      <c r="H3" s="48"/>
      <c r="I3" s="49"/>
    </row>
    <row r="4">
      <c r="A4" s="52" t="s">
        <v>80</v>
      </c>
      <c r="B4" s="47"/>
      <c r="C4" s="47"/>
      <c r="D4" s="47"/>
      <c r="E4" s="47"/>
      <c r="F4" s="47"/>
      <c r="G4" s="47"/>
      <c r="H4" s="48"/>
      <c r="I4" s="49"/>
    </row>
    <row r="5">
      <c r="A5" s="52" t="s">
        <v>81</v>
      </c>
      <c r="B5" s="47"/>
      <c r="C5" s="47"/>
      <c r="D5" s="47"/>
      <c r="E5" s="47"/>
      <c r="F5" s="47"/>
      <c r="G5" s="47"/>
      <c r="H5" s="48"/>
      <c r="I5" s="49"/>
    </row>
    <row r="6">
      <c r="A6" s="52" t="s">
        <v>82</v>
      </c>
      <c r="B6" s="47"/>
      <c r="C6" s="47"/>
      <c r="D6" s="47"/>
      <c r="E6" s="47"/>
      <c r="F6" s="47"/>
      <c r="G6" s="47"/>
      <c r="H6" s="48"/>
      <c r="I6" s="49"/>
    </row>
    <row r="7">
      <c r="A7" s="52" t="s">
        <v>83</v>
      </c>
      <c r="B7" s="47"/>
      <c r="C7" s="47"/>
      <c r="D7" s="47"/>
      <c r="E7" s="47"/>
      <c r="F7" s="47"/>
      <c r="G7" s="47"/>
      <c r="H7" s="48"/>
      <c r="I7" s="49"/>
    </row>
    <row r="8">
      <c r="A8" s="53" t="s">
        <v>84</v>
      </c>
      <c r="B8" s="54"/>
      <c r="C8" s="54"/>
      <c r="D8" s="54"/>
      <c r="E8" s="54"/>
      <c r="F8" s="54"/>
      <c r="G8" s="54"/>
      <c r="H8" s="55"/>
      <c r="I8" s="49"/>
    </row>
    <row r="9">
      <c r="A9" s="56" t="s">
        <v>85</v>
      </c>
      <c r="B9" s="56" t="s">
        <v>86</v>
      </c>
      <c r="C9" s="56" t="s">
        <v>87</v>
      </c>
      <c r="D9" s="57" t="s">
        <v>88</v>
      </c>
      <c r="E9" s="57" t="s">
        <v>89</v>
      </c>
      <c r="F9" s="57" t="s">
        <v>90</v>
      </c>
      <c r="G9" s="57" t="s">
        <v>91</v>
      </c>
      <c r="H9" s="58" t="s">
        <v>92</v>
      </c>
      <c r="I9" s="49"/>
    </row>
    <row r="10">
      <c r="A10" s="59"/>
      <c r="B10" s="59"/>
      <c r="C10" s="60">
        <v>1.0</v>
      </c>
      <c r="D10" s="61">
        <v>2.0</v>
      </c>
      <c r="E10" s="61">
        <v>3.0</v>
      </c>
      <c r="F10" s="61">
        <v>7.0</v>
      </c>
      <c r="G10" s="62"/>
      <c r="H10" s="63"/>
      <c r="I10" s="49"/>
    </row>
    <row r="11">
      <c r="A11" s="64" t="s">
        <v>93</v>
      </c>
      <c r="B11" s="65"/>
      <c r="C11" s="65"/>
      <c r="D11" s="65"/>
      <c r="E11" s="65"/>
      <c r="F11" s="65"/>
      <c r="G11" s="65"/>
      <c r="H11" s="66"/>
      <c r="I11" s="49"/>
    </row>
    <row r="12">
      <c r="A12" s="67" t="s">
        <v>94</v>
      </c>
      <c r="B12" s="68">
        <v>-3.3</v>
      </c>
      <c r="C12" s="69" t="s">
        <v>95</v>
      </c>
      <c r="D12" s="70" t="s">
        <v>96</v>
      </c>
      <c r="E12" s="70">
        <v>15.12</v>
      </c>
      <c r="F12" s="71">
        <v>0.03862</v>
      </c>
      <c r="G12" s="70">
        <v>26.7</v>
      </c>
      <c r="H12" s="72">
        <f t="shared" ref="H12:H39" si="1">E12+G12</f>
        <v>41.82</v>
      </c>
      <c r="I12" s="73"/>
    </row>
    <row r="13">
      <c r="A13" s="74"/>
      <c r="B13" s="74"/>
      <c r="C13" s="69" t="s">
        <v>97</v>
      </c>
      <c r="D13" s="70" t="s">
        <v>96</v>
      </c>
      <c r="E13" s="70">
        <v>15.12</v>
      </c>
      <c r="F13" s="71">
        <v>0.03862</v>
      </c>
      <c r="G13" s="70">
        <v>26.7</v>
      </c>
      <c r="H13" s="72">
        <f t="shared" si="1"/>
        <v>41.82</v>
      </c>
      <c r="I13" s="73"/>
    </row>
    <row r="14">
      <c r="A14" s="74"/>
      <c r="B14" s="74"/>
      <c r="C14" s="69" t="s">
        <v>98</v>
      </c>
      <c r="D14" s="70" t="s">
        <v>96</v>
      </c>
      <c r="E14" s="70">
        <v>15.12</v>
      </c>
      <c r="F14" s="71">
        <v>0.03862</v>
      </c>
      <c r="G14" s="70">
        <v>26.7</v>
      </c>
      <c r="H14" s="72">
        <f t="shared" si="1"/>
        <v>41.82</v>
      </c>
      <c r="I14" s="73"/>
    </row>
    <row r="15">
      <c r="A15" s="74"/>
      <c r="B15" s="74"/>
      <c r="C15" s="69" t="s">
        <v>99</v>
      </c>
      <c r="D15" s="70" t="s">
        <v>96</v>
      </c>
      <c r="E15" s="70">
        <v>15.12</v>
      </c>
      <c r="F15" s="71">
        <v>0.03862</v>
      </c>
      <c r="G15" s="70">
        <v>26.7</v>
      </c>
      <c r="H15" s="72">
        <f t="shared" si="1"/>
        <v>41.82</v>
      </c>
      <c r="I15" s="73"/>
    </row>
    <row r="16">
      <c r="A16" s="74"/>
      <c r="B16" s="74"/>
      <c r="C16" s="69" t="s">
        <v>100</v>
      </c>
      <c r="D16" s="70" t="s">
        <v>96</v>
      </c>
      <c r="E16" s="70">
        <v>15.12</v>
      </c>
      <c r="F16" s="71">
        <v>0.03862</v>
      </c>
      <c r="G16" s="70">
        <v>26.7</v>
      </c>
      <c r="H16" s="72">
        <f t="shared" si="1"/>
        <v>41.82</v>
      </c>
      <c r="I16" s="73"/>
    </row>
    <row r="17">
      <c r="A17" s="74"/>
      <c r="B17" s="74"/>
      <c r="C17" s="69" t="s">
        <v>101</v>
      </c>
      <c r="D17" s="70" t="s">
        <v>96</v>
      </c>
      <c r="E17" s="70">
        <v>15.12</v>
      </c>
      <c r="F17" s="71">
        <v>0.03862</v>
      </c>
      <c r="G17" s="70">
        <v>26.7</v>
      </c>
      <c r="H17" s="72">
        <f t="shared" si="1"/>
        <v>41.82</v>
      </c>
      <c r="I17" s="73"/>
    </row>
    <row r="18">
      <c r="A18" s="74"/>
      <c r="B18" s="74"/>
      <c r="C18" s="69" t="s">
        <v>102</v>
      </c>
      <c r="D18" s="70" t="s">
        <v>96</v>
      </c>
      <c r="E18" s="70">
        <v>15.12</v>
      </c>
      <c r="F18" s="71">
        <v>0.03862</v>
      </c>
      <c r="G18" s="70">
        <v>26.7</v>
      </c>
      <c r="H18" s="72">
        <f t="shared" si="1"/>
        <v>41.82</v>
      </c>
      <c r="I18" s="73"/>
    </row>
    <row r="19">
      <c r="A19" s="74"/>
      <c r="B19" s="74"/>
      <c r="C19" s="69" t="s">
        <v>103</v>
      </c>
      <c r="D19" s="70" t="s">
        <v>96</v>
      </c>
      <c r="E19" s="70">
        <v>15.12</v>
      </c>
      <c r="F19" s="71">
        <v>0.03862</v>
      </c>
      <c r="G19" s="70">
        <v>26.7</v>
      </c>
      <c r="H19" s="72">
        <f t="shared" si="1"/>
        <v>41.82</v>
      </c>
      <c r="I19" s="73"/>
    </row>
    <row r="20">
      <c r="A20" s="74"/>
      <c r="B20" s="74"/>
      <c r="C20" s="69" t="s">
        <v>104</v>
      </c>
      <c r="D20" s="70" t="s">
        <v>96</v>
      </c>
      <c r="E20" s="70">
        <v>15.12</v>
      </c>
      <c r="F20" s="71">
        <v>0.03862</v>
      </c>
      <c r="G20" s="70">
        <v>26.7</v>
      </c>
      <c r="H20" s="72">
        <f t="shared" si="1"/>
        <v>41.82</v>
      </c>
      <c r="I20" s="73"/>
    </row>
    <row r="21">
      <c r="A21" s="74"/>
      <c r="B21" s="74"/>
      <c r="C21" s="69" t="s">
        <v>105</v>
      </c>
      <c r="D21" s="70" t="s">
        <v>96</v>
      </c>
      <c r="E21" s="70">
        <v>15.12</v>
      </c>
      <c r="F21" s="71">
        <v>0.03862</v>
      </c>
      <c r="G21" s="70">
        <v>26.7</v>
      </c>
      <c r="H21" s="72">
        <f t="shared" si="1"/>
        <v>41.82</v>
      </c>
      <c r="I21" s="73"/>
    </row>
    <row r="22">
      <c r="A22" s="74"/>
      <c r="B22" s="74"/>
      <c r="C22" s="69" t="s">
        <v>106</v>
      </c>
      <c r="D22" s="70" t="s">
        <v>96</v>
      </c>
      <c r="E22" s="70">
        <v>15.12</v>
      </c>
      <c r="F22" s="71">
        <v>0.03862</v>
      </c>
      <c r="G22" s="70">
        <v>26.7</v>
      </c>
      <c r="H22" s="72">
        <f t="shared" si="1"/>
        <v>41.82</v>
      </c>
      <c r="I22" s="73"/>
    </row>
    <row r="23">
      <c r="A23" s="74"/>
      <c r="B23" s="74"/>
      <c r="C23" s="69" t="s">
        <v>107</v>
      </c>
      <c r="D23" s="70" t="s">
        <v>96</v>
      </c>
      <c r="E23" s="70">
        <v>15.12</v>
      </c>
      <c r="F23" s="71">
        <v>0.03862</v>
      </c>
      <c r="G23" s="70">
        <v>26.7</v>
      </c>
      <c r="H23" s="72">
        <f t="shared" si="1"/>
        <v>41.82</v>
      </c>
      <c r="I23" s="73"/>
    </row>
    <row r="24">
      <c r="A24" s="74"/>
      <c r="B24" s="74"/>
      <c r="C24" s="69" t="s">
        <v>108</v>
      </c>
      <c r="D24" s="70" t="s">
        <v>96</v>
      </c>
      <c r="E24" s="70">
        <v>15.12</v>
      </c>
      <c r="F24" s="71">
        <v>0.03862</v>
      </c>
      <c r="G24" s="70">
        <v>26.7</v>
      </c>
      <c r="H24" s="72">
        <f t="shared" si="1"/>
        <v>41.82</v>
      </c>
      <c r="I24" s="73"/>
    </row>
    <row r="25">
      <c r="A25" s="74"/>
      <c r="B25" s="74"/>
      <c r="C25" s="69" t="s">
        <v>109</v>
      </c>
      <c r="D25" s="70" t="s">
        <v>96</v>
      </c>
      <c r="E25" s="70">
        <v>15.12</v>
      </c>
      <c r="F25" s="71">
        <v>0.03862</v>
      </c>
      <c r="G25" s="70">
        <v>26.7</v>
      </c>
      <c r="H25" s="72">
        <f t="shared" si="1"/>
        <v>41.82</v>
      </c>
      <c r="I25" s="73"/>
    </row>
    <row r="26">
      <c r="A26" s="74"/>
      <c r="B26" s="74"/>
      <c r="C26" s="69" t="s">
        <v>110</v>
      </c>
      <c r="D26" s="70" t="s">
        <v>96</v>
      </c>
      <c r="E26" s="70">
        <v>13.91</v>
      </c>
      <c r="F26" s="71">
        <v>0.03553</v>
      </c>
      <c r="G26" s="70">
        <v>24.56</v>
      </c>
      <c r="H26" s="72">
        <f t="shared" si="1"/>
        <v>38.47</v>
      </c>
      <c r="I26" s="73"/>
    </row>
    <row r="27">
      <c r="A27" s="74"/>
      <c r="B27" s="74"/>
      <c r="C27" s="69" t="s">
        <v>111</v>
      </c>
      <c r="D27" s="70" t="s">
        <v>96</v>
      </c>
      <c r="E27" s="70">
        <v>13.5</v>
      </c>
      <c r="F27" s="71">
        <v>0.03449</v>
      </c>
      <c r="G27" s="70">
        <v>23.84</v>
      </c>
      <c r="H27" s="72">
        <f t="shared" si="1"/>
        <v>37.34</v>
      </c>
      <c r="I27" s="73"/>
    </row>
    <row r="28">
      <c r="A28" s="74"/>
      <c r="B28" s="74"/>
      <c r="C28" s="69" t="s">
        <v>112</v>
      </c>
      <c r="D28" s="70" t="s">
        <v>96</v>
      </c>
      <c r="E28" s="70">
        <v>14.33</v>
      </c>
      <c r="F28" s="71">
        <v>0.03661</v>
      </c>
      <c r="G28" s="70">
        <v>25.3</v>
      </c>
      <c r="H28" s="72">
        <f t="shared" si="1"/>
        <v>39.63</v>
      </c>
      <c r="I28" s="73"/>
    </row>
    <row r="29">
      <c r="A29" s="74"/>
      <c r="B29" s="74"/>
      <c r="C29" s="69" t="s">
        <v>113</v>
      </c>
      <c r="D29" s="70" t="s">
        <v>96</v>
      </c>
      <c r="E29" s="70">
        <v>13.91</v>
      </c>
      <c r="F29" s="71">
        <v>0.03553</v>
      </c>
      <c r="G29" s="70">
        <v>24.56</v>
      </c>
      <c r="H29" s="72">
        <f t="shared" si="1"/>
        <v>38.47</v>
      </c>
      <c r="I29" s="73"/>
    </row>
    <row r="30">
      <c r="A30" s="74"/>
      <c r="B30" s="74"/>
      <c r="C30" s="69" t="s">
        <v>114</v>
      </c>
      <c r="D30" s="70" t="s">
        <v>96</v>
      </c>
      <c r="E30" s="70">
        <v>15.12</v>
      </c>
      <c r="F30" s="71">
        <v>0.03862</v>
      </c>
      <c r="G30" s="70">
        <v>26.7</v>
      </c>
      <c r="H30" s="72">
        <f t="shared" si="1"/>
        <v>41.82</v>
      </c>
      <c r="I30" s="73"/>
    </row>
    <row r="31">
      <c r="A31" s="74"/>
      <c r="B31" s="74"/>
      <c r="C31" s="69" t="s">
        <v>115</v>
      </c>
      <c r="D31" s="70" t="s">
        <v>96</v>
      </c>
      <c r="E31" s="70">
        <v>11.88</v>
      </c>
      <c r="F31" s="71">
        <v>0.03035</v>
      </c>
      <c r="G31" s="70">
        <v>20.98</v>
      </c>
      <c r="H31" s="72">
        <f t="shared" si="1"/>
        <v>32.86</v>
      </c>
      <c r="I31" s="73"/>
    </row>
    <row r="32">
      <c r="A32" s="74"/>
      <c r="B32" s="74"/>
      <c r="C32" s="69" t="s">
        <v>116</v>
      </c>
      <c r="D32" s="70" t="s">
        <v>96</v>
      </c>
      <c r="E32" s="70">
        <v>13.12</v>
      </c>
      <c r="F32" s="71">
        <v>0.03351</v>
      </c>
      <c r="G32" s="70">
        <v>23.17</v>
      </c>
      <c r="H32" s="72">
        <f t="shared" si="1"/>
        <v>36.29</v>
      </c>
      <c r="I32" s="73"/>
    </row>
    <row r="33">
      <c r="A33" s="74"/>
      <c r="B33" s="74"/>
      <c r="C33" s="69" t="s">
        <v>117</v>
      </c>
      <c r="D33" s="70" t="s">
        <v>96</v>
      </c>
      <c r="E33" s="70">
        <v>15.12</v>
      </c>
      <c r="F33" s="71">
        <v>0.03862</v>
      </c>
      <c r="G33" s="70">
        <v>26.7</v>
      </c>
      <c r="H33" s="72">
        <f t="shared" si="1"/>
        <v>41.82</v>
      </c>
      <c r="I33" s="73"/>
    </row>
    <row r="34">
      <c r="A34" s="74"/>
      <c r="B34" s="74"/>
      <c r="C34" s="69" t="s">
        <v>118</v>
      </c>
      <c r="D34" s="70" t="s">
        <v>96</v>
      </c>
      <c r="E34" s="70">
        <v>11.88</v>
      </c>
      <c r="F34" s="71">
        <v>0.03035</v>
      </c>
      <c r="G34" s="70">
        <v>20.98</v>
      </c>
      <c r="H34" s="72">
        <f t="shared" si="1"/>
        <v>32.86</v>
      </c>
      <c r="I34" s="73"/>
    </row>
    <row r="35">
      <c r="A35" s="74"/>
      <c r="B35" s="74"/>
      <c r="C35" s="69" t="s">
        <v>119</v>
      </c>
      <c r="D35" s="70" t="s">
        <v>96</v>
      </c>
      <c r="E35" s="70">
        <v>11.66</v>
      </c>
      <c r="F35" s="71">
        <v>0.02979</v>
      </c>
      <c r="G35" s="70">
        <v>20.59</v>
      </c>
      <c r="H35" s="72">
        <f t="shared" si="1"/>
        <v>32.25</v>
      </c>
      <c r="I35" s="73"/>
    </row>
    <row r="36">
      <c r="A36" s="74"/>
      <c r="B36" s="74"/>
      <c r="C36" s="69" t="s">
        <v>120</v>
      </c>
      <c r="D36" s="70" t="s">
        <v>96</v>
      </c>
      <c r="E36" s="70">
        <v>15.12</v>
      </c>
      <c r="F36" s="71">
        <v>0.03862</v>
      </c>
      <c r="G36" s="70">
        <v>26.7</v>
      </c>
      <c r="H36" s="72">
        <f t="shared" si="1"/>
        <v>41.82</v>
      </c>
      <c r="I36" s="73"/>
    </row>
    <row r="37">
      <c r="A37" s="74"/>
      <c r="B37" s="74"/>
      <c r="C37" s="69" t="s">
        <v>121</v>
      </c>
      <c r="D37" s="70" t="s">
        <v>96</v>
      </c>
      <c r="E37" s="70">
        <v>15.12</v>
      </c>
      <c r="F37" s="71">
        <v>0.03862</v>
      </c>
      <c r="G37" s="70">
        <v>26.7</v>
      </c>
      <c r="H37" s="72">
        <f t="shared" si="1"/>
        <v>41.82</v>
      </c>
      <c r="I37" s="73"/>
    </row>
    <row r="38">
      <c r="A38" s="75"/>
      <c r="B38" s="75"/>
      <c r="C38" s="69" t="s">
        <v>122</v>
      </c>
      <c r="D38" s="70" t="s">
        <v>96</v>
      </c>
      <c r="E38" s="70">
        <v>15.12</v>
      </c>
      <c r="F38" s="71">
        <v>0.03862</v>
      </c>
      <c r="G38" s="70">
        <v>26.7</v>
      </c>
      <c r="H38" s="72">
        <f t="shared" si="1"/>
        <v>41.82</v>
      </c>
      <c r="I38" s="73"/>
    </row>
    <row r="39">
      <c r="A39" s="76" t="s">
        <v>123</v>
      </c>
      <c r="B39" s="65"/>
      <c r="C39" s="65"/>
      <c r="D39" s="77"/>
      <c r="E39" s="70">
        <f t="shared" ref="E39:G39" si="2">SUM(E12:E38)</f>
        <v>391.47</v>
      </c>
      <c r="F39" s="78">
        <f t="shared" si="2"/>
        <v>0.99994</v>
      </c>
      <c r="G39" s="70">
        <f t="shared" si="2"/>
        <v>691.28</v>
      </c>
      <c r="H39" s="72">
        <f t="shared" si="1"/>
        <v>1082.75</v>
      </c>
      <c r="I39" s="73"/>
    </row>
    <row r="40">
      <c r="A40" s="79" t="s">
        <v>124</v>
      </c>
      <c r="B40" s="80"/>
      <c r="C40" s="80"/>
      <c r="D40" s="81"/>
      <c r="E40" s="81"/>
      <c r="F40" s="81"/>
      <c r="G40" s="81"/>
      <c r="H40" s="82"/>
      <c r="I40" s="49"/>
    </row>
    <row r="41">
      <c r="A41" s="67" t="s">
        <v>94</v>
      </c>
      <c r="B41" s="68">
        <v>-3.3</v>
      </c>
      <c r="C41" s="69" t="s">
        <v>95</v>
      </c>
      <c r="D41" s="70" t="s">
        <v>96</v>
      </c>
      <c r="E41" s="70">
        <v>15.12</v>
      </c>
      <c r="F41" s="71">
        <v>0.05141</v>
      </c>
      <c r="G41" s="70">
        <v>26.7</v>
      </c>
      <c r="H41" s="72">
        <f t="shared" ref="H41:H61" si="3">E41+G41</f>
        <v>41.82</v>
      </c>
      <c r="I41" s="73"/>
    </row>
    <row r="42">
      <c r="A42" s="74"/>
      <c r="B42" s="74"/>
      <c r="C42" s="69" t="s">
        <v>97</v>
      </c>
      <c r="D42" s="70" t="s">
        <v>96</v>
      </c>
      <c r="E42" s="70">
        <v>15.12</v>
      </c>
      <c r="F42" s="71">
        <v>0.05141</v>
      </c>
      <c r="G42" s="70">
        <v>26.7</v>
      </c>
      <c r="H42" s="72">
        <f t="shared" si="3"/>
        <v>41.82</v>
      </c>
      <c r="I42" s="73"/>
    </row>
    <row r="43">
      <c r="A43" s="74"/>
      <c r="B43" s="74"/>
      <c r="C43" s="69" t="s">
        <v>98</v>
      </c>
      <c r="D43" s="70" t="s">
        <v>96</v>
      </c>
      <c r="E43" s="70">
        <v>15.12</v>
      </c>
      <c r="F43" s="71">
        <v>0.05141</v>
      </c>
      <c r="G43" s="70">
        <v>26.7</v>
      </c>
      <c r="H43" s="72">
        <f t="shared" si="3"/>
        <v>41.82</v>
      </c>
      <c r="I43" s="73"/>
    </row>
    <row r="44">
      <c r="A44" s="74"/>
      <c r="B44" s="74"/>
      <c r="C44" s="69" t="s">
        <v>99</v>
      </c>
      <c r="D44" s="70" t="s">
        <v>96</v>
      </c>
      <c r="E44" s="70">
        <v>15.12</v>
      </c>
      <c r="F44" s="71">
        <v>0.05141</v>
      </c>
      <c r="G44" s="70">
        <v>26.7</v>
      </c>
      <c r="H44" s="72">
        <f t="shared" si="3"/>
        <v>41.82</v>
      </c>
      <c r="I44" s="73"/>
    </row>
    <row r="45">
      <c r="A45" s="74"/>
      <c r="B45" s="74"/>
      <c r="C45" s="69" t="s">
        <v>100</v>
      </c>
      <c r="D45" s="70" t="s">
        <v>96</v>
      </c>
      <c r="E45" s="70">
        <v>15.12</v>
      </c>
      <c r="F45" s="71">
        <v>0.05141</v>
      </c>
      <c r="G45" s="70">
        <v>26.7</v>
      </c>
      <c r="H45" s="72">
        <f t="shared" si="3"/>
        <v>41.82</v>
      </c>
      <c r="I45" s="73"/>
    </row>
    <row r="46">
      <c r="A46" s="74"/>
      <c r="B46" s="74"/>
      <c r="C46" s="69" t="s">
        <v>125</v>
      </c>
      <c r="D46" s="70" t="s">
        <v>96</v>
      </c>
      <c r="E46" s="70">
        <v>15.12</v>
      </c>
      <c r="F46" s="71">
        <v>0.05141</v>
      </c>
      <c r="G46" s="70">
        <v>26.7</v>
      </c>
      <c r="H46" s="72">
        <f t="shared" si="3"/>
        <v>41.82</v>
      </c>
      <c r="I46" s="73"/>
    </row>
    <row r="47">
      <c r="A47" s="74"/>
      <c r="B47" s="74"/>
      <c r="C47" s="69" t="s">
        <v>126</v>
      </c>
      <c r="D47" s="70" t="s">
        <v>96</v>
      </c>
      <c r="E47" s="70">
        <v>15.12</v>
      </c>
      <c r="F47" s="71">
        <v>0.05141</v>
      </c>
      <c r="G47" s="70">
        <v>26.7</v>
      </c>
      <c r="H47" s="72">
        <f t="shared" si="3"/>
        <v>41.82</v>
      </c>
      <c r="I47" s="73"/>
    </row>
    <row r="48">
      <c r="A48" s="74"/>
      <c r="B48" s="74"/>
      <c r="C48" s="69" t="s">
        <v>127</v>
      </c>
      <c r="D48" s="70" t="s">
        <v>96</v>
      </c>
      <c r="E48" s="70">
        <v>12.71</v>
      </c>
      <c r="F48" s="71">
        <v>0.04321</v>
      </c>
      <c r="G48" s="70">
        <v>22.42</v>
      </c>
      <c r="H48" s="72">
        <f t="shared" si="3"/>
        <v>35.13</v>
      </c>
      <c r="I48" s="73"/>
    </row>
    <row r="49">
      <c r="A49" s="74"/>
      <c r="B49" s="74"/>
      <c r="C49" s="69" t="s">
        <v>128</v>
      </c>
      <c r="D49" s="70" t="s">
        <v>96</v>
      </c>
      <c r="E49" s="70">
        <v>11.67</v>
      </c>
      <c r="F49" s="71">
        <v>0.03968</v>
      </c>
      <c r="G49" s="70">
        <v>20.61</v>
      </c>
      <c r="H49" s="72">
        <f t="shared" si="3"/>
        <v>32.28</v>
      </c>
      <c r="I49" s="73"/>
    </row>
    <row r="50">
      <c r="A50" s="74"/>
      <c r="B50" s="74"/>
      <c r="C50" s="69" t="s">
        <v>129</v>
      </c>
      <c r="D50" s="70" t="s">
        <v>96</v>
      </c>
      <c r="E50" s="70">
        <v>12.71</v>
      </c>
      <c r="F50" s="71">
        <v>0.04321</v>
      </c>
      <c r="G50" s="70">
        <v>22.42</v>
      </c>
      <c r="H50" s="72">
        <f t="shared" si="3"/>
        <v>35.13</v>
      </c>
      <c r="I50" s="73"/>
    </row>
    <row r="51">
      <c r="A51" s="74"/>
      <c r="B51" s="74"/>
      <c r="C51" s="69" t="s">
        <v>130</v>
      </c>
      <c r="D51" s="70" t="s">
        <v>96</v>
      </c>
      <c r="E51" s="70">
        <v>15.12</v>
      </c>
      <c r="F51" s="71">
        <v>0.05141</v>
      </c>
      <c r="G51" s="70">
        <v>26.7</v>
      </c>
      <c r="H51" s="72">
        <f t="shared" si="3"/>
        <v>41.82</v>
      </c>
      <c r="I51" s="73"/>
    </row>
    <row r="52">
      <c r="A52" s="74"/>
      <c r="B52" s="74"/>
      <c r="C52" s="69" t="s">
        <v>104</v>
      </c>
      <c r="D52" s="70" t="s">
        <v>96</v>
      </c>
      <c r="E52" s="70">
        <v>15.12</v>
      </c>
      <c r="F52" s="71">
        <v>0.05141</v>
      </c>
      <c r="G52" s="70">
        <v>26.7</v>
      </c>
      <c r="H52" s="72">
        <f t="shared" si="3"/>
        <v>41.82</v>
      </c>
      <c r="I52" s="73"/>
    </row>
    <row r="53">
      <c r="A53" s="74"/>
      <c r="B53" s="74"/>
      <c r="C53" s="69" t="s">
        <v>105</v>
      </c>
      <c r="D53" s="70" t="s">
        <v>96</v>
      </c>
      <c r="E53" s="70">
        <v>15.12</v>
      </c>
      <c r="F53" s="71">
        <v>0.05141</v>
      </c>
      <c r="G53" s="70">
        <v>26.7</v>
      </c>
      <c r="H53" s="72">
        <f t="shared" si="3"/>
        <v>41.82</v>
      </c>
      <c r="I53" s="73"/>
    </row>
    <row r="54">
      <c r="A54" s="74"/>
      <c r="B54" s="74"/>
      <c r="C54" s="69" t="s">
        <v>106</v>
      </c>
      <c r="D54" s="70" t="s">
        <v>96</v>
      </c>
      <c r="E54" s="70">
        <v>15.12</v>
      </c>
      <c r="F54" s="71">
        <v>0.05141</v>
      </c>
      <c r="G54" s="70">
        <v>26.7</v>
      </c>
      <c r="H54" s="72">
        <f t="shared" si="3"/>
        <v>41.82</v>
      </c>
      <c r="I54" s="73"/>
    </row>
    <row r="55">
      <c r="A55" s="74"/>
      <c r="B55" s="74"/>
      <c r="C55" s="69" t="s">
        <v>107</v>
      </c>
      <c r="D55" s="70" t="s">
        <v>96</v>
      </c>
      <c r="E55" s="70">
        <v>15.12</v>
      </c>
      <c r="F55" s="71">
        <v>0.05141</v>
      </c>
      <c r="G55" s="70">
        <v>26.7</v>
      </c>
      <c r="H55" s="72">
        <f t="shared" si="3"/>
        <v>41.82</v>
      </c>
      <c r="I55" s="73"/>
    </row>
    <row r="56">
      <c r="A56" s="74"/>
      <c r="B56" s="74"/>
      <c r="C56" s="69" t="s">
        <v>108</v>
      </c>
      <c r="D56" s="70" t="s">
        <v>96</v>
      </c>
      <c r="E56" s="70">
        <v>15.12</v>
      </c>
      <c r="F56" s="71">
        <v>0.05141</v>
      </c>
      <c r="G56" s="70">
        <v>26.7</v>
      </c>
      <c r="H56" s="72">
        <f t="shared" si="3"/>
        <v>41.82</v>
      </c>
      <c r="I56" s="73"/>
    </row>
    <row r="57">
      <c r="A57" s="74"/>
      <c r="B57" s="74"/>
      <c r="C57" s="69" t="s">
        <v>109</v>
      </c>
      <c r="D57" s="70" t="s">
        <v>96</v>
      </c>
      <c r="E57" s="70">
        <v>15.12</v>
      </c>
      <c r="F57" s="71">
        <v>0.05141</v>
      </c>
      <c r="G57" s="70">
        <v>26.7</v>
      </c>
      <c r="H57" s="72">
        <f t="shared" si="3"/>
        <v>41.82</v>
      </c>
      <c r="I57" s="73"/>
    </row>
    <row r="58">
      <c r="A58" s="74"/>
      <c r="B58" s="74"/>
      <c r="C58" s="69" t="s">
        <v>110</v>
      </c>
      <c r="D58" s="70" t="s">
        <v>96</v>
      </c>
      <c r="E58" s="70">
        <v>15.12</v>
      </c>
      <c r="F58" s="71">
        <v>0.05141</v>
      </c>
      <c r="G58" s="70">
        <v>26.7</v>
      </c>
      <c r="H58" s="72">
        <f t="shared" si="3"/>
        <v>41.82</v>
      </c>
      <c r="I58" s="73"/>
    </row>
    <row r="59">
      <c r="A59" s="74"/>
      <c r="B59" s="74"/>
      <c r="C59" s="69" t="s">
        <v>131</v>
      </c>
      <c r="D59" s="70" t="s">
        <v>96</v>
      </c>
      <c r="E59" s="70">
        <v>15.12</v>
      </c>
      <c r="F59" s="71">
        <v>0.05141</v>
      </c>
      <c r="G59" s="70">
        <v>26.7</v>
      </c>
      <c r="H59" s="72">
        <f t="shared" si="3"/>
        <v>41.82</v>
      </c>
      <c r="I59" s="73"/>
    </row>
    <row r="60">
      <c r="A60" s="75"/>
      <c r="B60" s="75"/>
      <c r="C60" s="69" t="s">
        <v>132</v>
      </c>
      <c r="D60" s="70" t="s">
        <v>96</v>
      </c>
      <c r="E60" s="70">
        <v>15.12</v>
      </c>
      <c r="F60" s="71">
        <v>0.05141</v>
      </c>
      <c r="G60" s="70">
        <v>26.7</v>
      </c>
      <c r="H60" s="72">
        <f t="shared" si="3"/>
        <v>41.82</v>
      </c>
      <c r="I60" s="73"/>
    </row>
    <row r="61">
      <c r="A61" s="76" t="s">
        <v>133</v>
      </c>
      <c r="B61" s="65"/>
      <c r="C61" s="65"/>
      <c r="D61" s="77"/>
      <c r="E61" s="70">
        <f t="shared" ref="E61:G61" si="4">SUM(E41:E60)</f>
        <v>294.13</v>
      </c>
      <c r="F61" s="78">
        <f t="shared" si="4"/>
        <v>1.00007</v>
      </c>
      <c r="G61" s="70">
        <f t="shared" si="4"/>
        <v>519.35</v>
      </c>
      <c r="H61" s="72">
        <f t="shared" si="3"/>
        <v>813.48</v>
      </c>
      <c r="I61" s="73"/>
    </row>
    <row r="62">
      <c r="A62" s="79" t="s">
        <v>134</v>
      </c>
      <c r="B62" s="80"/>
      <c r="C62" s="80"/>
      <c r="D62" s="81"/>
      <c r="E62" s="81"/>
      <c r="F62" s="81"/>
      <c r="G62" s="81"/>
      <c r="H62" s="82"/>
      <c r="I62" s="49"/>
    </row>
    <row r="63">
      <c r="A63" s="67" t="s">
        <v>94</v>
      </c>
      <c r="B63" s="68">
        <v>-3.3</v>
      </c>
      <c r="C63" s="69" t="s">
        <v>95</v>
      </c>
      <c r="D63" s="70" t="s">
        <v>96</v>
      </c>
      <c r="E63" s="70">
        <v>15.12</v>
      </c>
      <c r="F63" s="71">
        <v>0.03897</v>
      </c>
      <c r="G63" s="70">
        <v>26.7</v>
      </c>
      <c r="H63" s="72">
        <f t="shared" ref="H63:H93" si="5">E63+G63</f>
        <v>41.82</v>
      </c>
      <c r="I63" s="73"/>
    </row>
    <row r="64">
      <c r="A64" s="74"/>
      <c r="B64" s="74"/>
      <c r="C64" s="69" t="s">
        <v>97</v>
      </c>
      <c r="D64" s="70" t="s">
        <v>96</v>
      </c>
      <c r="E64" s="70">
        <v>15.12</v>
      </c>
      <c r="F64" s="71">
        <v>0.03897</v>
      </c>
      <c r="G64" s="70">
        <v>26.7</v>
      </c>
      <c r="H64" s="72">
        <f t="shared" si="5"/>
        <v>41.82</v>
      </c>
      <c r="I64" s="73"/>
    </row>
    <row r="65">
      <c r="A65" s="74"/>
      <c r="B65" s="74"/>
      <c r="C65" s="69" t="s">
        <v>98</v>
      </c>
      <c r="D65" s="70" t="s">
        <v>96</v>
      </c>
      <c r="E65" s="70">
        <v>15.12</v>
      </c>
      <c r="F65" s="71">
        <v>0.03897</v>
      </c>
      <c r="G65" s="70">
        <v>26.7</v>
      </c>
      <c r="H65" s="72">
        <f t="shared" si="5"/>
        <v>41.82</v>
      </c>
      <c r="I65" s="73"/>
    </row>
    <row r="66">
      <c r="A66" s="74"/>
      <c r="B66" s="74"/>
      <c r="C66" s="69" t="s">
        <v>99</v>
      </c>
      <c r="D66" s="70" t="s">
        <v>96</v>
      </c>
      <c r="E66" s="70">
        <v>15.12</v>
      </c>
      <c r="F66" s="71">
        <v>0.03897</v>
      </c>
      <c r="G66" s="70">
        <v>26.7</v>
      </c>
      <c r="H66" s="72">
        <f t="shared" si="5"/>
        <v>41.82</v>
      </c>
      <c r="I66" s="73"/>
    </row>
    <row r="67">
      <c r="A67" s="74"/>
      <c r="B67" s="74"/>
      <c r="C67" s="69" t="s">
        <v>100</v>
      </c>
      <c r="D67" s="70" t="s">
        <v>96</v>
      </c>
      <c r="E67" s="70">
        <v>15.12</v>
      </c>
      <c r="F67" s="71">
        <v>0.03897</v>
      </c>
      <c r="G67" s="70">
        <v>26.7</v>
      </c>
      <c r="H67" s="72">
        <f t="shared" si="5"/>
        <v>41.82</v>
      </c>
      <c r="I67" s="73"/>
    </row>
    <row r="68">
      <c r="A68" s="74"/>
      <c r="B68" s="74"/>
      <c r="C68" s="69" t="s">
        <v>101</v>
      </c>
      <c r="D68" s="70" t="s">
        <v>96</v>
      </c>
      <c r="E68" s="70">
        <v>15.12</v>
      </c>
      <c r="F68" s="71">
        <v>0.03897</v>
      </c>
      <c r="G68" s="70">
        <v>26.7</v>
      </c>
      <c r="H68" s="72">
        <f t="shared" si="5"/>
        <v>41.82</v>
      </c>
      <c r="I68" s="73"/>
    </row>
    <row r="69">
      <c r="A69" s="74"/>
      <c r="B69" s="74"/>
      <c r="C69" s="69" t="s">
        <v>102</v>
      </c>
      <c r="D69" s="70" t="s">
        <v>96</v>
      </c>
      <c r="E69" s="70">
        <v>15.12</v>
      </c>
      <c r="F69" s="71">
        <v>0.03897</v>
      </c>
      <c r="G69" s="70">
        <v>26.7</v>
      </c>
      <c r="H69" s="72">
        <f t="shared" si="5"/>
        <v>41.82</v>
      </c>
      <c r="I69" s="73"/>
    </row>
    <row r="70">
      <c r="A70" s="74"/>
      <c r="B70" s="74"/>
      <c r="C70" s="69" t="s">
        <v>129</v>
      </c>
      <c r="D70" s="70" t="s">
        <v>96</v>
      </c>
      <c r="E70" s="70">
        <v>15.12</v>
      </c>
      <c r="F70" s="71">
        <v>0.03897</v>
      </c>
      <c r="G70" s="70">
        <v>26.7</v>
      </c>
      <c r="H70" s="72">
        <f t="shared" si="5"/>
        <v>41.82</v>
      </c>
      <c r="I70" s="73"/>
    </row>
    <row r="71">
      <c r="A71" s="74"/>
      <c r="B71" s="74"/>
      <c r="C71" s="69" t="s">
        <v>130</v>
      </c>
      <c r="D71" s="70" t="s">
        <v>96</v>
      </c>
      <c r="E71" s="70">
        <v>15.12</v>
      </c>
      <c r="F71" s="71">
        <v>0.03897</v>
      </c>
      <c r="G71" s="70">
        <v>26.7</v>
      </c>
      <c r="H71" s="72">
        <f t="shared" si="5"/>
        <v>41.82</v>
      </c>
      <c r="I71" s="73"/>
    </row>
    <row r="72">
      <c r="A72" s="74"/>
      <c r="B72" s="74"/>
      <c r="C72" s="69" t="s">
        <v>135</v>
      </c>
      <c r="D72" s="70" t="s">
        <v>96</v>
      </c>
      <c r="E72" s="70">
        <v>15.12</v>
      </c>
      <c r="F72" s="71">
        <v>0.03897</v>
      </c>
      <c r="G72" s="70">
        <v>26.7</v>
      </c>
      <c r="H72" s="72">
        <f t="shared" si="5"/>
        <v>41.82</v>
      </c>
      <c r="I72" s="73"/>
    </row>
    <row r="73">
      <c r="A73" s="74"/>
      <c r="B73" s="74"/>
      <c r="C73" s="69" t="s">
        <v>136</v>
      </c>
      <c r="D73" s="70" t="s">
        <v>96</v>
      </c>
      <c r="E73" s="70">
        <v>8.78</v>
      </c>
      <c r="F73" s="71">
        <v>0.02263</v>
      </c>
      <c r="G73" s="70">
        <v>15.5</v>
      </c>
      <c r="H73" s="72">
        <f t="shared" si="5"/>
        <v>24.28</v>
      </c>
      <c r="I73" s="73"/>
    </row>
    <row r="74">
      <c r="A74" s="74"/>
      <c r="B74" s="74"/>
      <c r="C74" s="69" t="s">
        <v>137</v>
      </c>
      <c r="D74" s="70" t="s">
        <v>96</v>
      </c>
      <c r="E74" s="70">
        <v>8.78</v>
      </c>
      <c r="F74" s="71">
        <v>0.02263</v>
      </c>
      <c r="G74" s="70">
        <v>15.5</v>
      </c>
      <c r="H74" s="72">
        <f t="shared" si="5"/>
        <v>24.28</v>
      </c>
      <c r="I74" s="73"/>
    </row>
    <row r="75">
      <c r="A75" s="74"/>
      <c r="B75" s="74"/>
      <c r="C75" s="69" t="s">
        <v>138</v>
      </c>
      <c r="D75" s="70" t="s">
        <v>96</v>
      </c>
      <c r="E75" s="70">
        <v>10.54</v>
      </c>
      <c r="F75" s="71">
        <v>0.02717</v>
      </c>
      <c r="G75" s="70">
        <v>18.61</v>
      </c>
      <c r="H75" s="72">
        <f t="shared" si="5"/>
        <v>29.15</v>
      </c>
      <c r="I75" s="73"/>
    </row>
    <row r="76">
      <c r="A76" s="74"/>
      <c r="B76" s="74"/>
      <c r="C76" s="69" t="s">
        <v>139</v>
      </c>
      <c r="D76" s="70" t="s">
        <v>96</v>
      </c>
      <c r="E76" s="70">
        <v>10.54</v>
      </c>
      <c r="F76" s="71">
        <v>0.02717</v>
      </c>
      <c r="G76" s="70">
        <v>18.61</v>
      </c>
      <c r="H76" s="72">
        <f t="shared" si="5"/>
        <v>29.15</v>
      </c>
      <c r="I76" s="73"/>
    </row>
    <row r="77">
      <c r="A77" s="74"/>
      <c r="B77" s="74"/>
      <c r="C77" s="69" t="s">
        <v>140</v>
      </c>
      <c r="D77" s="70" t="s">
        <v>96</v>
      </c>
      <c r="E77" s="70">
        <v>14.02</v>
      </c>
      <c r="F77" s="71">
        <v>0.03614</v>
      </c>
      <c r="G77" s="70">
        <v>24.76</v>
      </c>
      <c r="H77" s="72">
        <f t="shared" si="5"/>
        <v>38.78</v>
      </c>
      <c r="I77" s="73"/>
    </row>
    <row r="78">
      <c r="A78" s="74"/>
      <c r="B78" s="74"/>
      <c r="C78" s="69" t="s">
        <v>141</v>
      </c>
      <c r="D78" s="70" t="s">
        <v>96</v>
      </c>
      <c r="E78" s="70">
        <v>15.85</v>
      </c>
      <c r="F78" s="71">
        <v>0.04086</v>
      </c>
      <c r="G78" s="70">
        <v>27.99</v>
      </c>
      <c r="H78" s="72">
        <f t="shared" si="5"/>
        <v>43.84</v>
      </c>
      <c r="I78" s="73"/>
    </row>
    <row r="79">
      <c r="A79" s="74"/>
      <c r="B79" s="74"/>
      <c r="C79" s="69" t="s">
        <v>142</v>
      </c>
      <c r="D79" s="70" t="s">
        <v>96</v>
      </c>
      <c r="E79" s="70">
        <v>15.12</v>
      </c>
      <c r="F79" s="71">
        <v>0.03897</v>
      </c>
      <c r="G79" s="70">
        <v>26.7</v>
      </c>
      <c r="H79" s="72">
        <f t="shared" si="5"/>
        <v>41.82</v>
      </c>
      <c r="I79" s="73"/>
    </row>
    <row r="80">
      <c r="A80" s="74"/>
      <c r="B80" s="74"/>
      <c r="C80" s="69" t="s">
        <v>143</v>
      </c>
      <c r="D80" s="70" t="s">
        <v>96</v>
      </c>
      <c r="E80" s="70">
        <v>15.12</v>
      </c>
      <c r="F80" s="71">
        <v>0.03897</v>
      </c>
      <c r="G80" s="70">
        <v>26.7</v>
      </c>
      <c r="H80" s="72">
        <f t="shared" si="5"/>
        <v>41.82</v>
      </c>
      <c r="I80" s="73"/>
    </row>
    <row r="81">
      <c r="A81" s="74"/>
      <c r="B81" s="74"/>
      <c r="C81" s="69" t="s">
        <v>144</v>
      </c>
      <c r="D81" s="70" t="s">
        <v>96</v>
      </c>
      <c r="E81" s="70">
        <v>8.78</v>
      </c>
      <c r="F81" s="71">
        <v>0.02263</v>
      </c>
      <c r="G81" s="70">
        <v>15.5</v>
      </c>
      <c r="H81" s="72">
        <f t="shared" si="5"/>
        <v>24.28</v>
      </c>
      <c r="I81" s="73"/>
    </row>
    <row r="82">
      <c r="A82" s="74"/>
      <c r="B82" s="74"/>
      <c r="C82" s="69" t="s">
        <v>145</v>
      </c>
      <c r="D82" s="70" t="s">
        <v>96</v>
      </c>
      <c r="E82" s="70">
        <v>8.78</v>
      </c>
      <c r="F82" s="71">
        <v>0.02263</v>
      </c>
      <c r="G82" s="70">
        <v>15.5</v>
      </c>
      <c r="H82" s="72">
        <f t="shared" si="5"/>
        <v>24.28</v>
      </c>
      <c r="I82" s="73"/>
    </row>
    <row r="83">
      <c r="A83" s="74"/>
      <c r="B83" s="74"/>
      <c r="C83" s="69" t="s">
        <v>146</v>
      </c>
      <c r="D83" s="70" t="s">
        <v>96</v>
      </c>
      <c r="E83" s="70">
        <v>8.78</v>
      </c>
      <c r="F83" s="71">
        <v>0.02263</v>
      </c>
      <c r="G83" s="70">
        <v>15.5</v>
      </c>
      <c r="H83" s="72">
        <f t="shared" si="5"/>
        <v>24.28</v>
      </c>
      <c r="I83" s="73"/>
    </row>
    <row r="84">
      <c r="A84" s="74"/>
      <c r="B84" s="74"/>
      <c r="C84" s="69" t="s">
        <v>131</v>
      </c>
      <c r="D84" s="70" t="s">
        <v>96</v>
      </c>
      <c r="E84" s="70">
        <v>12.32</v>
      </c>
      <c r="F84" s="71">
        <v>0.03176</v>
      </c>
      <c r="G84" s="70">
        <v>21.75</v>
      </c>
      <c r="H84" s="72">
        <f t="shared" si="5"/>
        <v>34.07</v>
      </c>
      <c r="I84" s="73"/>
    </row>
    <row r="85">
      <c r="A85" s="74"/>
      <c r="B85" s="74"/>
      <c r="C85" s="69" t="s">
        <v>147</v>
      </c>
      <c r="D85" s="70" t="s">
        <v>96</v>
      </c>
      <c r="E85" s="70">
        <v>15.12</v>
      </c>
      <c r="F85" s="71">
        <v>0.03897</v>
      </c>
      <c r="G85" s="70">
        <v>26.7</v>
      </c>
      <c r="H85" s="72">
        <f t="shared" si="5"/>
        <v>41.82</v>
      </c>
      <c r="I85" s="73"/>
    </row>
    <row r="86">
      <c r="A86" s="74"/>
      <c r="B86" s="74"/>
      <c r="C86" s="69" t="s">
        <v>148</v>
      </c>
      <c r="D86" s="70" t="s">
        <v>96</v>
      </c>
      <c r="E86" s="70">
        <v>12.32</v>
      </c>
      <c r="F86" s="71">
        <v>0.03176</v>
      </c>
      <c r="G86" s="70">
        <v>21.75</v>
      </c>
      <c r="H86" s="72">
        <f t="shared" si="5"/>
        <v>34.07</v>
      </c>
      <c r="I86" s="73"/>
    </row>
    <row r="87">
      <c r="A87" s="74"/>
      <c r="B87" s="74"/>
      <c r="C87" s="69" t="s">
        <v>113</v>
      </c>
      <c r="D87" s="70" t="s">
        <v>96</v>
      </c>
      <c r="E87" s="70">
        <v>15.12</v>
      </c>
      <c r="F87" s="71">
        <v>0.03897</v>
      </c>
      <c r="G87" s="70">
        <v>26.7</v>
      </c>
      <c r="H87" s="72">
        <f t="shared" si="5"/>
        <v>41.82</v>
      </c>
      <c r="I87" s="73"/>
    </row>
    <row r="88">
      <c r="A88" s="74"/>
      <c r="B88" s="74"/>
      <c r="C88" s="69" t="s">
        <v>149</v>
      </c>
      <c r="D88" s="70" t="s">
        <v>96</v>
      </c>
      <c r="E88" s="70">
        <v>11.48</v>
      </c>
      <c r="F88" s="71">
        <v>0.02959</v>
      </c>
      <c r="G88" s="70">
        <v>20.27</v>
      </c>
      <c r="H88" s="72">
        <f t="shared" si="5"/>
        <v>31.75</v>
      </c>
      <c r="I88" s="73"/>
    </row>
    <row r="89">
      <c r="A89" s="74"/>
      <c r="B89" s="74"/>
      <c r="C89" s="69" t="s">
        <v>150</v>
      </c>
      <c r="D89" s="70" t="s">
        <v>96</v>
      </c>
      <c r="E89" s="70">
        <v>13.94</v>
      </c>
      <c r="F89" s="71">
        <v>0.03593</v>
      </c>
      <c r="G89" s="70">
        <v>24.62</v>
      </c>
      <c r="H89" s="72">
        <f t="shared" si="5"/>
        <v>38.56</v>
      </c>
      <c r="I89" s="73"/>
    </row>
    <row r="90">
      <c r="A90" s="74"/>
      <c r="B90" s="74"/>
      <c r="C90" s="69" t="s">
        <v>151</v>
      </c>
      <c r="D90" s="70" t="s">
        <v>96</v>
      </c>
      <c r="E90" s="70">
        <v>16.24</v>
      </c>
      <c r="F90" s="71">
        <v>0.04186</v>
      </c>
      <c r="G90" s="70">
        <v>28.68</v>
      </c>
      <c r="H90" s="72">
        <f t="shared" si="5"/>
        <v>44.92</v>
      </c>
      <c r="I90" s="73"/>
    </row>
    <row r="91">
      <c r="A91" s="75"/>
      <c r="B91" s="75"/>
      <c r="C91" s="69" t="s">
        <v>152</v>
      </c>
      <c r="D91" s="70" t="s">
        <v>96</v>
      </c>
      <c r="E91" s="70">
        <v>15.12</v>
      </c>
      <c r="F91" s="71">
        <v>0.03897</v>
      </c>
      <c r="G91" s="70">
        <v>26.7</v>
      </c>
      <c r="H91" s="72">
        <f t="shared" si="5"/>
        <v>41.82</v>
      </c>
      <c r="I91" s="73"/>
    </row>
    <row r="92">
      <c r="A92" s="83" t="s">
        <v>153</v>
      </c>
      <c r="B92" s="84"/>
      <c r="C92" s="84"/>
      <c r="D92" s="85"/>
      <c r="E92" s="86">
        <f t="shared" ref="E92:G92" si="6">SUM(E63:E91)</f>
        <v>387.95</v>
      </c>
      <c r="F92" s="87">
        <f t="shared" si="6"/>
        <v>0.99994</v>
      </c>
      <c r="G92" s="86">
        <f t="shared" si="6"/>
        <v>685.04</v>
      </c>
      <c r="H92" s="88">
        <f t="shared" si="5"/>
        <v>1072.99</v>
      </c>
      <c r="I92" s="73"/>
    </row>
    <row r="93">
      <c r="A93" s="89" t="s">
        <v>154</v>
      </c>
      <c r="B93" s="90"/>
      <c r="C93" s="90"/>
      <c r="D93" s="91"/>
      <c r="E93" s="92">
        <f>SUM(E39,E61,E92)</f>
        <v>1073.55</v>
      </c>
      <c r="F93" s="93">
        <f>sum(F39,F61,F92) / 3</f>
        <v>0.9999833333</v>
      </c>
      <c r="G93" s="92">
        <f>SUM(G39,G61,G92)</f>
        <v>1895.67</v>
      </c>
      <c r="H93" s="92">
        <f t="shared" si="5"/>
        <v>2969.22</v>
      </c>
      <c r="I93" s="94"/>
    </row>
    <row r="94">
      <c r="A94" s="95" t="s">
        <v>155</v>
      </c>
      <c r="B94" s="96"/>
      <c r="C94" s="96"/>
      <c r="D94" s="97"/>
      <c r="E94" s="97"/>
      <c r="F94" s="97"/>
      <c r="G94" s="97"/>
      <c r="H94" s="98"/>
      <c r="I94" s="49"/>
    </row>
    <row r="95">
      <c r="A95" s="67" t="s">
        <v>156</v>
      </c>
      <c r="B95" s="68">
        <v>0.0</v>
      </c>
      <c r="C95" s="69" t="s">
        <v>157</v>
      </c>
      <c r="D95" s="99" t="s">
        <v>158</v>
      </c>
      <c r="E95" s="70">
        <v>19.98</v>
      </c>
      <c r="F95" s="71">
        <v>0.00115</v>
      </c>
      <c r="G95" s="70">
        <v>3.27</v>
      </c>
      <c r="H95" s="72">
        <f t="shared" ref="H95:H128" si="7">E95+G95</f>
        <v>23.25</v>
      </c>
      <c r="I95" s="73"/>
    </row>
    <row r="96">
      <c r="A96" s="74"/>
      <c r="B96" s="74"/>
      <c r="C96" s="69" t="s">
        <v>159</v>
      </c>
      <c r="D96" s="99" t="s">
        <v>158</v>
      </c>
      <c r="E96" s="70">
        <v>22.48</v>
      </c>
      <c r="F96" s="71">
        <v>0.00149</v>
      </c>
      <c r="G96" s="70">
        <v>3.65</v>
      </c>
      <c r="H96" s="72">
        <f t="shared" si="7"/>
        <v>26.13</v>
      </c>
      <c r="I96" s="73"/>
    </row>
    <row r="97">
      <c r="A97" s="74"/>
      <c r="B97" s="74"/>
      <c r="C97" s="69" t="s">
        <v>160</v>
      </c>
      <c r="D97" s="99" t="s">
        <v>158</v>
      </c>
      <c r="E97" s="70">
        <v>35.43</v>
      </c>
      <c r="F97" s="71">
        <v>0.00235</v>
      </c>
      <c r="G97" s="70">
        <v>5.8</v>
      </c>
      <c r="H97" s="72">
        <f t="shared" si="7"/>
        <v>41.23</v>
      </c>
      <c r="I97" s="73"/>
    </row>
    <row r="98">
      <c r="A98" s="74"/>
      <c r="B98" s="74"/>
      <c r="C98" s="69" t="s">
        <v>161</v>
      </c>
      <c r="D98" s="99" t="s">
        <v>158</v>
      </c>
      <c r="E98" s="70">
        <v>32.1</v>
      </c>
      <c r="F98" s="71">
        <v>0.00213</v>
      </c>
      <c r="G98" s="70">
        <v>5.26</v>
      </c>
      <c r="H98" s="72">
        <f t="shared" si="7"/>
        <v>37.36</v>
      </c>
      <c r="I98" s="73"/>
    </row>
    <row r="99">
      <c r="A99" s="74"/>
      <c r="B99" s="74"/>
      <c r="C99" s="69" t="s">
        <v>162</v>
      </c>
      <c r="D99" s="99" t="s">
        <v>158</v>
      </c>
      <c r="E99" s="70">
        <v>31.95</v>
      </c>
      <c r="F99" s="71">
        <v>0.00212</v>
      </c>
      <c r="G99" s="70">
        <v>5.23</v>
      </c>
      <c r="H99" s="72">
        <f t="shared" si="7"/>
        <v>37.18</v>
      </c>
      <c r="I99" s="73"/>
    </row>
    <row r="100">
      <c r="A100" s="74"/>
      <c r="B100" s="74"/>
      <c r="C100" s="100" t="s">
        <v>163</v>
      </c>
      <c r="D100" s="99" t="s">
        <v>158</v>
      </c>
      <c r="E100" s="70">
        <v>32.02</v>
      </c>
      <c r="F100" s="71">
        <v>0.00212</v>
      </c>
      <c r="G100" s="70">
        <v>5.24</v>
      </c>
      <c r="H100" s="72">
        <f t="shared" si="7"/>
        <v>37.26</v>
      </c>
      <c r="I100" s="73"/>
    </row>
    <row r="101">
      <c r="A101" s="74"/>
      <c r="B101" s="74"/>
      <c r="C101" s="69" t="s">
        <v>164</v>
      </c>
      <c r="D101" s="101"/>
      <c r="E101" s="70">
        <v>100.16</v>
      </c>
      <c r="F101" s="71">
        <v>0.00642</v>
      </c>
      <c r="G101" s="70">
        <v>15.72</v>
      </c>
      <c r="H101" s="72">
        <f t="shared" si="7"/>
        <v>115.88</v>
      </c>
      <c r="I101" s="73"/>
    </row>
    <row r="102">
      <c r="A102" s="75"/>
      <c r="B102" s="75"/>
      <c r="C102" s="69" t="s">
        <v>165</v>
      </c>
      <c r="D102" s="101"/>
      <c r="E102" s="70">
        <v>113.37</v>
      </c>
      <c r="F102" s="71">
        <v>0.00727</v>
      </c>
      <c r="G102" s="70">
        <v>17.79</v>
      </c>
      <c r="H102" s="72">
        <f t="shared" si="7"/>
        <v>131.16</v>
      </c>
      <c r="I102" s="73"/>
    </row>
    <row r="103">
      <c r="A103" s="67" t="s">
        <v>166</v>
      </c>
      <c r="B103" s="68">
        <v>3.0</v>
      </c>
      <c r="C103" s="69" t="s">
        <v>167</v>
      </c>
      <c r="D103" s="101"/>
      <c r="E103" s="70">
        <v>53.31</v>
      </c>
      <c r="F103" s="71">
        <v>0.00357</v>
      </c>
      <c r="G103" s="70">
        <v>8.73</v>
      </c>
      <c r="H103" s="72">
        <f t="shared" si="7"/>
        <v>62.04</v>
      </c>
      <c r="I103" s="73"/>
    </row>
    <row r="104">
      <c r="A104" s="74"/>
      <c r="B104" s="74"/>
      <c r="C104" s="69" t="s">
        <v>168</v>
      </c>
      <c r="D104" s="101"/>
      <c r="E104" s="70">
        <v>129.02</v>
      </c>
      <c r="F104" s="71">
        <v>0.00838</v>
      </c>
      <c r="G104" s="70">
        <v>21.35</v>
      </c>
      <c r="H104" s="72">
        <f t="shared" si="7"/>
        <v>150.37</v>
      </c>
      <c r="I104" s="73"/>
    </row>
    <row r="105">
      <c r="A105" s="74"/>
      <c r="B105" s="74"/>
      <c r="C105" s="69" t="s">
        <v>169</v>
      </c>
      <c r="D105" s="101"/>
      <c r="E105" s="70">
        <v>93.63</v>
      </c>
      <c r="F105" s="71">
        <v>0.00659</v>
      </c>
      <c r="G105" s="70">
        <v>16.11</v>
      </c>
      <c r="H105" s="72">
        <f t="shared" si="7"/>
        <v>109.74</v>
      </c>
      <c r="I105" s="73"/>
    </row>
    <row r="106">
      <c r="A106" s="74"/>
      <c r="B106" s="74"/>
      <c r="C106" s="69" t="s">
        <v>170</v>
      </c>
      <c r="D106" s="101"/>
      <c r="E106" s="70">
        <v>103.46</v>
      </c>
      <c r="F106" s="71">
        <v>0.00714</v>
      </c>
      <c r="G106" s="70">
        <v>16.78</v>
      </c>
      <c r="H106" s="72">
        <f t="shared" si="7"/>
        <v>120.24</v>
      </c>
      <c r="I106" s="73"/>
    </row>
    <row r="107">
      <c r="A107" s="75"/>
      <c r="B107" s="75"/>
      <c r="C107" s="69" t="s">
        <v>171</v>
      </c>
      <c r="D107" s="101"/>
      <c r="E107" s="70">
        <v>80.14</v>
      </c>
      <c r="F107" s="71">
        <v>0.0051</v>
      </c>
      <c r="G107" s="70">
        <v>12.96</v>
      </c>
      <c r="H107" s="72">
        <f t="shared" si="7"/>
        <v>93.1</v>
      </c>
      <c r="I107" s="73"/>
    </row>
    <row r="108">
      <c r="A108" s="67" t="s">
        <v>172</v>
      </c>
      <c r="B108" s="68">
        <v>6.0</v>
      </c>
      <c r="C108" s="69" t="s">
        <v>173</v>
      </c>
      <c r="D108" s="101"/>
      <c r="E108" s="70">
        <v>53.31</v>
      </c>
      <c r="F108" s="71">
        <v>0.00357</v>
      </c>
      <c r="G108" s="70">
        <v>8.73</v>
      </c>
      <c r="H108" s="72">
        <f t="shared" si="7"/>
        <v>62.04</v>
      </c>
      <c r="I108" s="73"/>
    </row>
    <row r="109">
      <c r="A109" s="74"/>
      <c r="B109" s="74"/>
      <c r="C109" s="69" t="s">
        <v>174</v>
      </c>
      <c r="D109" s="101"/>
      <c r="E109" s="70">
        <v>129.02</v>
      </c>
      <c r="F109" s="71">
        <v>0.00873</v>
      </c>
      <c r="G109" s="70">
        <v>21.35</v>
      </c>
      <c r="H109" s="72">
        <f t="shared" si="7"/>
        <v>150.37</v>
      </c>
      <c r="I109" s="73"/>
    </row>
    <row r="110">
      <c r="A110" s="74"/>
      <c r="B110" s="74"/>
      <c r="C110" s="69" t="s">
        <v>175</v>
      </c>
      <c r="D110" s="101"/>
      <c r="E110" s="70">
        <v>93.63</v>
      </c>
      <c r="F110" s="71">
        <v>0.00659</v>
      </c>
      <c r="G110" s="70">
        <v>16.11</v>
      </c>
      <c r="H110" s="72">
        <f t="shared" si="7"/>
        <v>109.74</v>
      </c>
      <c r="I110" s="73"/>
    </row>
    <row r="111">
      <c r="A111" s="74"/>
      <c r="B111" s="74"/>
      <c r="C111" s="69" t="s">
        <v>176</v>
      </c>
      <c r="D111" s="101"/>
      <c r="E111" s="70">
        <v>103.46</v>
      </c>
      <c r="F111" s="71">
        <v>0.00714</v>
      </c>
      <c r="G111" s="70">
        <v>16.78</v>
      </c>
      <c r="H111" s="72">
        <f t="shared" si="7"/>
        <v>120.24</v>
      </c>
      <c r="I111" s="73"/>
    </row>
    <row r="112">
      <c r="A112" s="75"/>
      <c r="B112" s="75"/>
      <c r="C112" s="69" t="s">
        <v>177</v>
      </c>
      <c r="D112" s="101"/>
      <c r="E112" s="70">
        <v>80.14</v>
      </c>
      <c r="F112" s="71">
        <v>0.00531</v>
      </c>
      <c r="G112" s="70">
        <v>12.96</v>
      </c>
      <c r="H112" s="72">
        <f t="shared" si="7"/>
        <v>93.1</v>
      </c>
      <c r="I112" s="73"/>
    </row>
    <row r="113">
      <c r="A113" s="67" t="s">
        <v>178</v>
      </c>
      <c r="B113" s="68">
        <v>9.0</v>
      </c>
      <c r="C113" s="69" t="s">
        <v>179</v>
      </c>
      <c r="D113" s="101"/>
      <c r="E113" s="70">
        <v>53.31</v>
      </c>
      <c r="F113" s="71">
        <v>0.00357</v>
      </c>
      <c r="G113" s="70">
        <v>8.73</v>
      </c>
      <c r="H113" s="72">
        <f t="shared" si="7"/>
        <v>62.04</v>
      </c>
      <c r="I113" s="73"/>
    </row>
    <row r="114">
      <c r="A114" s="74"/>
      <c r="B114" s="74"/>
      <c r="C114" s="69" t="s">
        <v>180</v>
      </c>
      <c r="D114" s="101"/>
      <c r="E114" s="70">
        <v>129.02</v>
      </c>
      <c r="F114" s="71">
        <v>0.00873</v>
      </c>
      <c r="G114" s="70">
        <v>21.35</v>
      </c>
      <c r="H114" s="72">
        <f t="shared" si="7"/>
        <v>150.37</v>
      </c>
      <c r="I114" s="73"/>
    </row>
    <row r="115">
      <c r="A115" s="74"/>
      <c r="B115" s="74"/>
      <c r="C115" s="69" t="s">
        <v>181</v>
      </c>
      <c r="D115" s="101"/>
      <c r="E115" s="70">
        <v>93.63</v>
      </c>
      <c r="F115" s="71">
        <v>0.00659</v>
      </c>
      <c r="G115" s="70">
        <v>16.11</v>
      </c>
      <c r="H115" s="72">
        <f t="shared" si="7"/>
        <v>109.74</v>
      </c>
      <c r="I115" s="73"/>
    </row>
    <row r="116">
      <c r="A116" s="74"/>
      <c r="B116" s="74"/>
      <c r="C116" s="69" t="s">
        <v>182</v>
      </c>
      <c r="D116" s="101"/>
      <c r="E116" s="70">
        <v>103.46</v>
      </c>
      <c r="F116" s="71">
        <v>0.00714</v>
      </c>
      <c r="G116" s="70">
        <v>16.78</v>
      </c>
      <c r="H116" s="72">
        <f t="shared" si="7"/>
        <v>120.24</v>
      </c>
      <c r="I116" s="73"/>
    </row>
    <row r="117">
      <c r="A117" s="75"/>
      <c r="B117" s="75"/>
      <c r="C117" s="69" t="s">
        <v>183</v>
      </c>
      <c r="D117" s="101"/>
      <c r="E117" s="70">
        <v>80.14</v>
      </c>
      <c r="F117" s="71">
        <v>0.00531</v>
      </c>
      <c r="G117" s="70">
        <v>12.96</v>
      </c>
      <c r="H117" s="72">
        <f t="shared" si="7"/>
        <v>93.1</v>
      </c>
      <c r="I117" s="73"/>
    </row>
    <row r="118">
      <c r="A118" s="67" t="s">
        <v>184</v>
      </c>
      <c r="B118" s="68">
        <v>12.0</v>
      </c>
      <c r="C118" s="69" t="s">
        <v>185</v>
      </c>
      <c r="D118" s="101"/>
      <c r="E118" s="70">
        <v>53.31</v>
      </c>
      <c r="F118" s="71">
        <v>0.00357</v>
      </c>
      <c r="G118" s="70">
        <v>8.73</v>
      </c>
      <c r="H118" s="72">
        <f t="shared" si="7"/>
        <v>62.04</v>
      </c>
      <c r="I118" s="73"/>
    </row>
    <row r="119">
      <c r="A119" s="74"/>
      <c r="B119" s="74"/>
      <c r="C119" s="69" t="s">
        <v>186</v>
      </c>
      <c r="D119" s="101"/>
      <c r="E119" s="70">
        <v>128.95</v>
      </c>
      <c r="F119" s="71" t="s">
        <v>187</v>
      </c>
      <c r="G119" s="70">
        <v>21.34</v>
      </c>
      <c r="H119" s="72">
        <f t="shared" si="7"/>
        <v>150.29</v>
      </c>
      <c r="I119" s="73"/>
    </row>
    <row r="120">
      <c r="A120" s="74"/>
      <c r="B120" s="74"/>
      <c r="C120" s="69" t="s">
        <v>188</v>
      </c>
      <c r="D120" s="101"/>
      <c r="E120" s="70">
        <v>203.88</v>
      </c>
      <c r="F120" s="71">
        <v>0.01372</v>
      </c>
      <c r="G120" s="70">
        <v>26.78</v>
      </c>
      <c r="H120" s="72">
        <f t="shared" si="7"/>
        <v>230.66</v>
      </c>
      <c r="I120" s="73"/>
    </row>
    <row r="121">
      <c r="A121" s="75"/>
      <c r="B121" s="75"/>
      <c r="C121" s="69" t="s">
        <v>189</v>
      </c>
      <c r="D121" s="101"/>
      <c r="E121" s="70">
        <v>80.14</v>
      </c>
      <c r="F121" s="71">
        <v>0.00531</v>
      </c>
      <c r="G121" s="70">
        <v>12.96</v>
      </c>
      <c r="H121" s="72">
        <f t="shared" si="7"/>
        <v>93.1</v>
      </c>
      <c r="I121" s="73"/>
    </row>
    <row r="122">
      <c r="A122" s="67" t="s">
        <v>190</v>
      </c>
      <c r="B122" s="68">
        <v>15.0</v>
      </c>
      <c r="C122" s="69" t="s">
        <v>191</v>
      </c>
      <c r="D122" s="101"/>
      <c r="E122" s="70">
        <v>53.31</v>
      </c>
      <c r="F122" s="71">
        <v>0.00357</v>
      </c>
      <c r="G122" s="70">
        <v>8.73</v>
      </c>
      <c r="H122" s="72">
        <f t="shared" si="7"/>
        <v>62.04</v>
      </c>
      <c r="I122" s="73"/>
    </row>
    <row r="123">
      <c r="A123" s="74"/>
      <c r="B123" s="74"/>
      <c r="C123" s="69" t="s">
        <v>192</v>
      </c>
      <c r="D123" s="101"/>
      <c r="E123" s="70">
        <v>129.33</v>
      </c>
      <c r="F123" s="71">
        <v>0.00875</v>
      </c>
      <c r="G123" s="70">
        <v>21.4</v>
      </c>
      <c r="H123" s="72">
        <f t="shared" si="7"/>
        <v>150.73</v>
      </c>
      <c r="I123" s="73"/>
    </row>
    <row r="124">
      <c r="A124" s="74"/>
      <c r="B124" s="74"/>
      <c r="C124" s="69" t="s">
        <v>193</v>
      </c>
      <c r="D124" s="101"/>
      <c r="E124" s="70">
        <v>192.37</v>
      </c>
      <c r="F124" s="71">
        <v>0.0134</v>
      </c>
      <c r="G124" s="70">
        <v>32.47</v>
      </c>
      <c r="H124" s="72">
        <f t="shared" si="7"/>
        <v>224.84</v>
      </c>
      <c r="I124" s="73"/>
    </row>
    <row r="125">
      <c r="A125" s="75"/>
      <c r="B125" s="75"/>
      <c r="C125" s="69" t="s">
        <v>194</v>
      </c>
      <c r="D125" s="101"/>
      <c r="E125" s="70">
        <v>78.02</v>
      </c>
      <c r="F125" s="71">
        <v>0.00522</v>
      </c>
      <c r="G125" s="70">
        <v>12.65</v>
      </c>
      <c r="H125" s="72">
        <f t="shared" si="7"/>
        <v>90.67</v>
      </c>
      <c r="I125" s="73"/>
    </row>
    <row r="126">
      <c r="A126" s="67" t="s">
        <v>195</v>
      </c>
      <c r="B126" s="68">
        <v>18.0</v>
      </c>
      <c r="C126" s="69" t="s">
        <v>196</v>
      </c>
      <c r="D126" s="101"/>
      <c r="E126" s="70">
        <v>119.28</v>
      </c>
      <c r="F126" s="71">
        <v>0.00814</v>
      </c>
      <c r="G126" s="70">
        <v>19.91</v>
      </c>
      <c r="H126" s="72">
        <f t="shared" si="7"/>
        <v>139.19</v>
      </c>
      <c r="I126" s="73"/>
    </row>
    <row r="127">
      <c r="A127" s="74"/>
      <c r="B127" s="74"/>
      <c r="C127" s="69" t="s">
        <v>197</v>
      </c>
      <c r="D127" s="101"/>
      <c r="E127" s="70">
        <v>171.33</v>
      </c>
      <c r="F127" s="71">
        <v>0.01272</v>
      </c>
      <c r="G127" s="70">
        <v>30.66</v>
      </c>
      <c r="H127" s="72">
        <f t="shared" si="7"/>
        <v>201.99</v>
      </c>
      <c r="I127" s="73"/>
    </row>
    <row r="128">
      <c r="A128" s="75"/>
      <c r="B128" s="75"/>
      <c r="C128" s="69" t="s">
        <v>198</v>
      </c>
      <c r="D128" s="101"/>
      <c r="E128" s="70">
        <v>103.29</v>
      </c>
      <c r="F128" s="71">
        <v>0.00856</v>
      </c>
      <c r="G128" s="70">
        <v>20.65</v>
      </c>
      <c r="H128" s="72">
        <f t="shared" si="7"/>
        <v>123.94</v>
      </c>
      <c r="I128" s="73"/>
    </row>
    <row r="129">
      <c r="A129" s="76" t="s">
        <v>199</v>
      </c>
      <c r="B129" s="65"/>
      <c r="C129" s="65"/>
      <c r="D129" s="77"/>
      <c r="E129" s="70">
        <f t="shared" ref="E129:H129" si="8">SUM(E95:E128)</f>
        <v>3079.38</v>
      </c>
      <c r="F129" s="78">
        <f t="shared" si="8"/>
        <v>0.20147</v>
      </c>
      <c r="G129" s="70">
        <f t="shared" si="8"/>
        <v>506.03</v>
      </c>
      <c r="H129" s="72">
        <f t="shared" si="8"/>
        <v>3585.41</v>
      </c>
      <c r="I129" s="73"/>
    </row>
    <row r="130">
      <c r="A130" s="79" t="s">
        <v>200</v>
      </c>
      <c r="B130" s="80"/>
      <c r="C130" s="80"/>
      <c r="D130" s="81"/>
      <c r="E130" s="81"/>
      <c r="F130" s="81"/>
      <c r="G130" s="81"/>
      <c r="H130" s="82"/>
      <c r="I130" s="49"/>
    </row>
    <row r="131">
      <c r="A131" s="67" t="s">
        <v>201</v>
      </c>
      <c r="B131" s="68">
        <v>0.0</v>
      </c>
      <c r="C131" s="69" t="s">
        <v>159</v>
      </c>
      <c r="D131" s="99" t="s">
        <v>158</v>
      </c>
      <c r="E131" s="70">
        <v>20.89</v>
      </c>
      <c r="F131" s="71">
        <v>0.00139</v>
      </c>
      <c r="G131" s="70">
        <v>3.42</v>
      </c>
      <c r="H131" s="72">
        <f t="shared" ref="H131:H169" si="9">E131+G131</f>
        <v>24.31</v>
      </c>
      <c r="I131" s="102"/>
    </row>
    <row r="132">
      <c r="A132" s="74"/>
      <c r="B132" s="74"/>
      <c r="C132" s="69" t="s">
        <v>164</v>
      </c>
      <c r="D132" s="99"/>
      <c r="E132" s="70">
        <v>107.11</v>
      </c>
      <c r="F132" s="71">
        <v>0.00687</v>
      </c>
      <c r="G132" s="70">
        <v>16.81</v>
      </c>
      <c r="H132" s="72">
        <f t="shared" si="9"/>
        <v>123.92</v>
      </c>
      <c r="I132" s="73"/>
    </row>
    <row r="133">
      <c r="A133" s="75"/>
      <c r="B133" s="75"/>
      <c r="C133" s="69" t="s">
        <v>165</v>
      </c>
      <c r="D133" s="99"/>
      <c r="E133" s="70">
        <v>113.57</v>
      </c>
      <c r="F133" s="71">
        <v>0.00728</v>
      </c>
      <c r="G133" s="70">
        <v>17.82</v>
      </c>
      <c r="H133" s="72">
        <f t="shared" si="9"/>
        <v>131.39</v>
      </c>
      <c r="I133" s="73"/>
    </row>
    <row r="134">
      <c r="A134" s="67" t="s">
        <v>166</v>
      </c>
      <c r="B134" s="68">
        <v>3.0</v>
      </c>
      <c r="C134" s="69" t="s">
        <v>167</v>
      </c>
      <c r="D134" s="99"/>
      <c r="E134" s="70">
        <v>43.24</v>
      </c>
      <c r="F134" s="71">
        <v>0.0029</v>
      </c>
      <c r="G134" s="70">
        <v>7.08</v>
      </c>
      <c r="H134" s="72">
        <f t="shared" si="9"/>
        <v>50.32</v>
      </c>
      <c r="I134" s="73"/>
    </row>
    <row r="135">
      <c r="A135" s="74"/>
      <c r="B135" s="74"/>
      <c r="C135" s="69" t="s">
        <v>168</v>
      </c>
      <c r="D135" s="99"/>
      <c r="E135" s="70">
        <v>108.7</v>
      </c>
      <c r="F135" s="71">
        <v>0.0073</v>
      </c>
      <c r="G135" s="70">
        <v>18.23</v>
      </c>
      <c r="H135" s="72">
        <f t="shared" si="9"/>
        <v>126.93</v>
      </c>
      <c r="I135" s="73"/>
    </row>
    <row r="136">
      <c r="A136" s="74"/>
      <c r="B136" s="74"/>
      <c r="C136" s="69" t="s">
        <v>169</v>
      </c>
      <c r="D136" s="99"/>
      <c r="E136" s="70">
        <v>69.69</v>
      </c>
      <c r="F136" s="71">
        <v>0.0048</v>
      </c>
      <c r="G136" s="70">
        <v>11.99</v>
      </c>
      <c r="H136" s="72">
        <f t="shared" si="9"/>
        <v>81.68</v>
      </c>
      <c r="I136" s="73"/>
    </row>
    <row r="137">
      <c r="A137" s="75"/>
      <c r="B137" s="75"/>
      <c r="C137" s="69" t="s">
        <v>170</v>
      </c>
      <c r="D137" s="101"/>
      <c r="E137" s="70">
        <v>98.71</v>
      </c>
      <c r="F137" s="71">
        <v>0.00632</v>
      </c>
      <c r="G137" s="70">
        <v>16.12</v>
      </c>
      <c r="H137" s="72">
        <f t="shared" si="9"/>
        <v>114.83</v>
      </c>
      <c r="I137" s="73"/>
    </row>
    <row r="138">
      <c r="A138" s="67" t="s">
        <v>172</v>
      </c>
      <c r="B138" s="68">
        <v>6.0</v>
      </c>
      <c r="C138" s="69" t="s">
        <v>173</v>
      </c>
      <c r="D138" s="101"/>
      <c r="E138" s="70">
        <v>43.24</v>
      </c>
      <c r="F138" s="71">
        <v>0.0029</v>
      </c>
      <c r="G138" s="70">
        <v>7.08</v>
      </c>
      <c r="H138" s="72">
        <f t="shared" si="9"/>
        <v>50.32</v>
      </c>
      <c r="I138" s="73"/>
    </row>
    <row r="139">
      <c r="A139" s="74"/>
      <c r="B139" s="74"/>
      <c r="C139" s="69" t="s">
        <v>174</v>
      </c>
      <c r="D139" s="101"/>
      <c r="E139" s="70">
        <v>108.7</v>
      </c>
      <c r="F139" s="71">
        <v>0.00745</v>
      </c>
      <c r="G139" s="70">
        <v>18.23</v>
      </c>
      <c r="H139" s="72">
        <f t="shared" si="9"/>
        <v>126.93</v>
      </c>
      <c r="I139" s="73"/>
    </row>
    <row r="140">
      <c r="A140" s="74"/>
      <c r="B140" s="74"/>
      <c r="C140" s="69" t="s">
        <v>175</v>
      </c>
      <c r="D140" s="101"/>
      <c r="E140" s="70">
        <v>69.69</v>
      </c>
      <c r="F140" s="71">
        <v>0.0049</v>
      </c>
      <c r="G140" s="70">
        <v>11.99</v>
      </c>
      <c r="H140" s="72">
        <f t="shared" si="9"/>
        <v>81.68</v>
      </c>
      <c r="I140" s="73"/>
    </row>
    <row r="141">
      <c r="A141" s="75"/>
      <c r="B141" s="75"/>
      <c r="C141" s="69" t="s">
        <v>176</v>
      </c>
      <c r="D141" s="101"/>
      <c r="E141" s="70">
        <v>98.71</v>
      </c>
      <c r="F141" s="71">
        <v>0.00659</v>
      </c>
      <c r="G141" s="70">
        <v>16.12</v>
      </c>
      <c r="H141" s="72">
        <f t="shared" si="9"/>
        <v>114.83</v>
      </c>
      <c r="I141" s="73"/>
    </row>
    <row r="142">
      <c r="A142" s="67" t="s">
        <v>178</v>
      </c>
      <c r="B142" s="68">
        <v>9.0</v>
      </c>
      <c r="C142" s="69" t="s">
        <v>179</v>
      </c>
      <c r="D142" s="101"/>
      <c r="E142" s="70">
        <v>43.24</v>
      </c>
      <c r="F142" s="71">
        <v>0.0029</v>
      </c>
      <c r="G142" s="70">
        <v>7.08</v>
      </c>
      <c r="H142" s="72">
        <f t="shared" si="9"/>
        <v>50.32</v>
      </c>
      <c r="I142" s="73"/>
    </row>
    <row r="143">
      <c r="A143" s="74"/>
      <c r="B143" s="74"/>
      <c r="C143" s="69" t="s">
        <v>180</v>
      </c>
      <c r="D143" s="101"/>
      <c r="E143" s="70">
        <v>108.7</v>
      </c>
      <c r="F143" s="71">
        <v>0.00745</v>
      </c>
      <c r="G143" s="70">
        <v>18.23</v>
      </c>
      <c r="H143" s="72">
        <f t="shared" si="9"/>
        <v>126.93</v>
      </c>
      <c r="I143" s="73"/>
    </row>
    <row r="144">
      <c r="A144" s="74"/>
      <c r="B144" s="74"/>
      <c r="C144" s="69" t="s">
        <v>181</v>
      </c>
      <c r="D144" s="101"/>
      <c r="E144" s="70">
        <v>69.69</v>
      </c>
      <c r="F144" s="71">
        <v>0.0049</v>
      </c>
      <c r="G144" s="70">
        <v>11.99</v>
      </c>
      <c r="H144" s="72">
        <f t="shared" si="9"/>
        <v>81.68</v>
      </c>
      <c r="I144" s="73"/>
    </row>
    <row r="145">
      <c r="A145" s="75"/>
      <c r="B145" s="75"/>
      <c r="C145" s="69" t="s">
        <v>182</v>
      </c>
      <c r="D145" s="101"/>
      <c r="E145" s="70">
        <v>98.71</v>
      </c>
      <c r="F145" s="71">
        <v>0.00659</v>
      </c>
      <c r="G145" s="70">
        <v>16.12</v>
      </c>
      <c r="H145" s="72">
        <f t="shared" si="9"/>
        <v>114.83</v>
      </c>
      <c r="I145" s="73"/>
    </row>
    <row r="146">
      <c r="A146" s="67" t="s">
        <v>184</v>
      </c>
      <c r="B146" s="68">
        <v>12.0</v>
      </c>
      <c r="C146" s="69" t="s">
        <v>185</v>
      </c>
      <c r="D146" s="101"/>
      <c r="E146" s="70">
        <v>43.24</v>
      </c>
      <c r="F146" s="71">
        <v>0.0029</v>
      </c>
      <c r="G146" s="70">
        <v>7.08</v>
      </c>
      <c r="H146" s="72">
        <f t="shared" si="9"/>
        <v>50.32</v>
      </c>
      <c r="I146" s="73"/>
    </row>
    <row r="147">
      <c r="A147" s="74"/>
      <c r="B147" s="74"/>
      <c r="C147" s="69" t="s">
        <v>186</v>
      </c>
      <c r="D147" s="101"/>
      <c r="E147" s="70">
        <v>108.7</v>
      </c>
      <c r="F147" s="71">
        <v>0.00745</v>
      </c>
      <c r="G147" s="70">
        <v>18.23</v>
      </c>
      <c r="H147" s="72">
        <f t="shared" si="9"/>
        <v>126.93</v>
      </c>
      <c r="I147" s="73"/>
    </row>
    <row r="148">
      <c r="A148" s="74"/>
      <c r="B148" s="74"/>
      <c r="C148" s="69" t="s">
        <v>202</v>
      </c>
      <c r="D148" s="101"/>
      <c r="E148" s="70">
        <v>69.69</v>
      </c>
      <c r="F148" s="71">
        <v>0.0049</v>
      </c>
      <c r="G148" s="70">
        <v>11.99</v>
      </c>
      <c r="H148" s="72">
        <f t="shared" si="9"/>
        <v>81.68</v>
      </c>
      <c r="I148" s="73"/>
    </row>
    <row r="149">
      <c r="A149" s="75"/>
      <c r="B149" s="75"/>
      <c r="C149" s="69" t="s">
        <v>188</v>
      </c>
      <c r="D149" s="101"/>
      <c r="E149" s="70">
        <v>98.71</v>
      </c>
      <c r="F149" s="71">
        <v>0.00659</v>
      </c>
      <c r="G149" s="70">
        <v>16.12</v>
      </c>
      <c r="H149" s="72">
        <f t="shared" si="9"/>
        <v>114.83</v>
      </c>
      <c r="I149" s="73"/>
    </row>
    <row r="150">
      <c r="A150" s="67" t="s">
        <v>190</v>
      </c>
      <c r="B150" s="68">
        <v>15.0</v>
      </c>
      <c r="C150" s="69" t="s">
        <v>191</v>
      </c>
      <c r="D150" s="101"/>
      <c r="E150" s="70">
        <v>43.56</v>
      </c>
      <c r="F150" s="71">
        <v>0.00292</v>
      </c>
      <c r="G150" s="70">
        <v>7.13</v>
      </c>
      <c r="H150" s="72">
        <f t="shared" si="9"/>
        <v>50.69</v>
      </c>
      <c r="I150" s="73"/>
    </row>
    <row r="151">
      <c r="A151" s="74"/>
      <c r="B151" s="74"/>
      <c r="C151" s="69" t="s">
        <v>192</v>
      </c>
      <c r="D151" s="101"/>
      <c r="E151" s="70">
        <v>104.19</v>
      </c>
      <c r="F151" s="71">
        <v>0.00714</v>
      </c>
      <c r="G151" s="70">
        <v>17.47</v>
      </c>
      <c r="H151" s="72">
        <f t="shared" si="9"/>
        <v>121.66</v>
      </c>
      <c r="I151" s="73"/>
    </row>
    <row r="152">
      <c r="A152" s="74"/>
      <c r="B152" s="74"/>
      <c r="C152" s="69" t="s">
        <v>193</v>
      </c>
      <c r="D152" s="101"/>
      <c r="E152" s="70">
        <v>67.12</v>
      </c>
      <c r="F152" s="71">
        <v>0.00472</v>
      </c>
      <c r="G152" s="70">
        <v>11.55</v>
      </c>
      <c r="H152" s="72">
        <f t="shared" si="9"/>
        <v>78.67</v>
      </c>
      <c r="I152" s="73"/>
    </row>
    <row r="153">
      <c r="A153" s="75"/>
      <c r="B153" s="75"/>
      <c r="C153" s="69" t="s">
        <v>194</v>
      </c>
      <c r="D153" s="101"/>
      <c r="E153" s="70">
        <v>96.78</v>
      </c>
      <c r="F153" s="71">
        <v>0.00646</v>
      </c>
      <c r="G153" s="70">
        <v>15.8</v>
      </c>
      <c r="H153" s="72">
        <f t="shared" si="9"/>
        <v>112.58</v>
      </c>
      <c r="I153" s="73"/>
    </row>
    <row r="154">
      <c r="A154" s="67" t="s">
        <v>195</v>
      </c>
      <c r="B154" s="68">
        <v>18.0</v>
      </c>
      <c r="C154" s="69" t="s">
        <v>196</v>
      </c>
      <c r="D154" s="101"/>
      <c r="E154" s="70">
        <v>133.61</v>
      </c>
      <c r="F154" s="71">
        <v>0.00933</v>
      </c>
      <c r="G154" s="70">
        <v>22.81</v>
      </c>
      <c r="H154" s="72">
        <f t="shared" si="9"/>
        <v>156.42</v>
      </c>
      <c r="I154" s="73"/>
    </row>
    <row r="155">
      <c r="A155" s="74"/>
      <c r="B155" s="74"/>
      <c r="C155" s="69" t="s">
        <v>197</v>
      </c>
      <c r="D155" s="101"/>
      <c r="E155" s="70">
        <v>66.99</v>
      </c>
      <c r="F155" s="71">
        <v>0.00435</v>
      </c>
      <c r="G155" s="70">
        <v>11.53</v>
      </c>
      <c r="H155" s="72">
        <f t="shared" si="9"/>
        <v>78.52</v>
      </c>
      <c r="I155" s="73"/>
    </row>
    <row r="156">
      <c r="A156" s="75"/>
      <c r="B156" s="75"/>
      <c r="C156" s="69" t="s">
        <v>198</v>
      </c>
      <c r="D156" s="101"/>
      <c r="E156" s="70">
        <v>86.8</v>
      </c>
      <c r="F156" s="71">
        <v>0.00634</v>
      </c>
      <c r="G156" s="70">
        <v>15.93</v>
      </c>
      <c r="H156" s="72">
        <f t="shared" si="9"/>
        <v>102.73</v>
      </c>
      <c r="I156" s="73"/>
    </row>
    <row r="157">
      <c r="A157" s="67" t="s">
        <v>94</v>
      </c>
      <c r="B157" s="67">
        <v>-3.3</v>
      </c>
      <c r="C157" s="69" t="s">
        <v>203</v>
      </c>
      <c r="D157" s="99" t="s">
        <v>204</v>
      </c>
      <c r="E157" s="70">
        <v>4.364444444444445</v>
      </c>
      <c r="F157" s="71">
        <v>8.0E-5</v>
      </c>
      <c r="G157" s="70">
        <v>0.20444444444444446</v>
      </c>
      <c r="H157" s="72">
        <f t="shared" si="9"/>
        <v>4.568888889</v>
      </c>
      <c r="I157" s="73"/>
    </row>
    <row r="158">
      <c r="A158" s="74"/>
      <c r="B158" s="74"/>
      <c r="C158" s="103" t="s">
        <v>205</v>
      </c>
      <c r="D158" s="99" t="s">
        <v>204</v>
      </c>
      <c r="E158" s="70">
        <v>4.364444444444445</v>
      </c>
      <c r="F158" s="71">
        <v>8.0E-5</v>
      </c>
      <c r="G158" s="70">
        <v>0.20444444444444446</v>
      </c>
      <c r="H158" s="72">
        <f t="shared" si="9"/>
        <v>4.568888889</v>
      </c>
      <c r="I158" s="73"/>
    </row>
    <row r="159">
      <c r="A159" s="74"/>
      <c r="B159" s="74"/>
      <c r="C159" s="103" t="s">
        <v>206</v>
      </c>
      <c r="D159" s="99" t="s">
        <v>204</v>
      </c>
      <c r="E159" s="70">
        <v>4.364444444444445</v>
      </c>
      <c r="F159" s="71">
        <v>8.0E-5</v>
      </c>
      <c r="G159" s="70">
        <v>0.20444444444444446</v>
      </c>
      <c r="H159" s="72">
        <f t="shared" si="9"/>
        <v>4.568888889</v>
      </c>
      <c r="I159" s="73"/>
    </row>
    <row r="160">
      <c r="A160" s="74"/>
      <c r="B160" s="74"/>
      <c r="C160" s="103" t="s">
        <v>207</v>
      </c>
      <c r="D160" s="99" t="s">
        <v>204</v>
      </c>
      <c r="E160" s="70">
        <v>4.364444444444445</v>
      </c>
      <c r="F160" s="71">
        <v>8.0E-5</v>
      </c>
      <c r="G160" s="70">
        <v>0.20444444444444446</v>
      </c>
      <c r="H160" s="72">
        <f t="shared" si="9"/>
        <v>4.568888889</v>
      </c>
      <c r="I160" s="73"/>
    </row>
    <row r="161">
      <c r="A161" s="74"/>
      <c r="B161" s="74"/>
      <c r="C161" s="103" t="s">
        <v>208</v>
      </c>
      <c r="D161" s="99" t="s">
        <v>204</v>
      </c>
      <c r="E161" s="70">
        <v>4.91</v>
      </c>
      <c r="F161" s="71">
        <v>9.0E-5</v>
      </c>
      <c r="G161" s="70">
        <v>0.23</v>
      </c>
      <c r="H161" s="72">
        <f t="shared" si="9"/>
        <v>5.14</v>
      </c>
      <c r="I161" s="73"/>
    </row>
    <row r="162">
      <c r="A162" s="74"/>
      <c r="B162" s="74"/>
      <c r="C162" s="103" t="s">
        <v>209</v>
      </c>
      <c r="D162" s="99" t="s">
        <v>204</v>
      </c>
      <c r="E162" s="70">
        <v>5.455555555555556</v>
      </c>
      <c r="F162" s="71" t="s">
        <v>210</v>
      </c>
      <c r="G162" s="70">
        <v>0.2555555555555556</v>
      </c>
      <c r="H162" s="72">
        <f t="shared" si="9"/>
        <v>5.711111111</v>
      </c>
      <c r="I162" s="73"/>
    </row>
    <row r="163">
      <c r="A163" s="74"/>
      <c r="B163" s="74"/>
      <c r="C163" s="103" t="s">
        <v>211</v>
      </c>
      <c r="D163" s="99" t="s">
        <v>204</v>
      </c>
      <c r="E163" s="70">
        <v>3.8188888888888886</v>
      </c>
      <c r="F163" s="71">
        <v>7.0E-5</v>
      </c>
      <c r="G163" s="70">
        <v>0.17888888888888888</v>
      </c>
      <c r="H163" s="72">
        <f t="shared" si="9"/>
        <v>3.997777778</v>
      </c>
      <c r="I163" s="73"/>
    </row>
    <row r="164">
      <c r="A164" s="74"/>
      <c r="B164" s="74"/>
      <c r="C164" s="103" t="s">
        <v>212</v>
      </c>
      <c r="D164" s="99" t="s">
        <v>204</v>
      </c>
      <c r="E164" s="70">
        <v>3.8188888888888886</v>
      </c>
      <c r="F164" s="71">
        <v>7.0E-5</v>
      </c>
      <c r="G164" s="70">
        <v>0.17888888888888888</v>
      </c>
      <c r="H164" s="72">
        <f t="shared" si="9"/>
        <v>3.997777778</v>
      </c>
      <c r="I164" s="73"/>
    </row>
    <row r="165">
      <c r="A165" s="74"/>
      <c r="B165" s="74"/>
      <c r="C165" s="103" t="s">
        <v>213</v>
      </c>
      <c r="D165" s="99" t="s">
        <v>204</v>
      </c>
      <c r="E165" s="70">
        <v>4.91</v>
      </c>
      <c r="F165" s="71">
        <v>9.0E-5</v>
      </c>
      <c r="G165" s="70">
        <v>0.23</v>
      </c>
      <c r="H165" s="72">
        <f t="shared" si="9"/>
        <v>5.14</v>
      </c>
      <c r="I165" s="73"/>
    </row>
    <row r="166">
      <c r="A166" s="74"/>
      <c r="B166" s="74"/>
      <c r="C166" s="103" t="s">
        <v>214</v>
      </c>
      <c r="D166" s="99" t="s">
        <v>204</v>
      </c>
      <c r="E166" s="70">
        <v>5.455555555555556</v>
      </c>
      <c r="F166" s="71">
        <v>1.0E-4</v>
      </c>
      <c r="G166" s="70">
        <v>0.2555555555555556</v>
      </c>
      <c r="H166" s="72">
        <f t="shared" si="9"/>
        <v>5.711111111</v>
      </c>
      <c r="I166" s="73"/>
    </row>
    <row r="167">
      <c r="A167" s="74"/>
      <c r="B167" s="74"/>
      <c r="C167" s="103" t="s">
        <v>215</v>
      </c>
      <c r="D167" s="99" t="s">
        <v>204</v>
      </c>
      <c r="E167" s="99">
        <v>4.91</v>
      </c>
      <c r="F167" s="71">
        <v>9.0E-5</v>
      </c>
      <c r="G167" s="99">
        <v>0.23</v>
      </c>
      <c r="H167" s="72">
        <f t="shared" si="9"/>
        <v>5.14</v>
      </c>
      <c r="I167" s="73"/>
    </row>
    <row r="168">
      <c r="A168" s="74"/>
      <c r="B168" s="74"/>
      <c r="C168" s="103" t="s">
        <v>216</v>
      </c>
      <c r="D168" s="99" t="s">
        <v>204</v>
      </c>
      <c r="E168" s="99">
        <v>4.91</v>
      </c>
      <c r="F168" s="71">
        <v>9.0E-5</v>
      </c>
      <c r="G168" s="70">
        <v>0.23</v>
      </c>
      <c r="H168" s="72">
        <f t="shared" si="9"/>
        <v>5.14</v>
      </c>
      <c r="I168" s="73"/>
    </row>
    <row r="169">
      <c r="A169" s="75"/>
      <c r="B169" s="75"/>
      <c r="C169" s="103" t="s">
        <v>217</v>
      </c>
      <c r="D169" s="99" t="s">
        <v>204</v>
      </c>
      <c r="E169" s="70">
        <v>5.455555555555556</v>
      </c>
      <c r="F169" s="71">
        <v>1.0E-4</v>
      </c>
      <c r="G169" s="70">
        <v>0.2555555555555556</v>
      </c>
      <c r="H169" s="72">
        <f t="shared" si="9"/>
        <v>5.711111111</v>
      </c>
      <c r="I169" s="73"/>
    </row>
    <row r="170">
      <c r="A170" s="76" t="s">
        <v>218</v>
      </c>
      <c r="B170" s="65"/>
      <c r="C170" s="65"/>
      <c r="D170" s="77"/>
      <c r="E170" s="70">
        <f>sum(E131:E169)</f>
        <v>2183.082222</v>
      </c>
      <c r="F170" s="78">
        <f>SUM(F131:F169)</f>
        <v>0.14466</v>
      </c>
      <c r="G170" s="70">
        <f t="shared" ref="G170:H170" si="10">sum(G131:G169)</f>
        <v>356.8122222</v>
      </c>
      <c r="H170" s="72">
        <f t="shared" si="10"/>
        <v>2539.894444</v>
      </c>
      <c r="I170" s="73"/>
    </row>
    <row r="171">
      <c r="A171" s="104" t="s">
        <v>219</v>
      </c>
      <c r="B171" s="105"/>
      <c r="C171" s="105"/>
      <c r="D171" s="81"/>
      <c r="E171" s="105"/>
      <c r="F171" s="81"/>
      <c r="G171" s="81"/>
      <c r="H171" s="82"/>
      <c r="I171" s="49"/>
    </row>
    <row r="172">
      <c r="A172" s="106" t="s">
        <v>201</v>
      </c>
      <c r="B172" s="107">
        <v>0.0</v>
      </c>
      <c r="C172" s="103" t="s">
        <v>159</v>
      </c>
      <c r="D172" s="99" t="s">
        <v>158</v>
      </c>
      <c r="E172" s="103">
        <v>19.98</v>
      </c>
      <c r="F172" s="71">
        <v>0.00132</v>
      </c>
      <c r="G172" s="70">
        <v>3.27</v>
      </c>
      <c r="H172" s="72">
        <f t="shared" ref="H172:H198" si="11">E172+G172</f>
        <v>23.25</v>
      </c>
      <c r="I172" s="73"/>
    </row>
    <row r="173">
      <c r="A173" s="74"/>
      <c r="B173" s="74"/>
      <c r="C173" s="103" t="s">
        <v>160</v>
      </c>
      <c r="D173" s="99" t="s">
        <v>158</v>
      </c>
      <c r="E173" s="103">
        <v>28.74</v>
      </c>
      <c r="F173" s="71">
        <v>0.00191</v>
      </c>
      <c r="G173" s="70">
        <v>4.71</v>
      </c>
      <c r="H173" s="72">
        <f t="shared" si="11"/>
        <v>33.45</v>
      </c>
      <c r="I173" s="73"/>
    </row>
    <row r="174">
      <c r="A174" s="74"/>
      <c r="B174" s="74"/>
      <c r="C174" s="103" t="s">
        <v>164</v>
      </c>
      <c r="D174" s="101"/>
      <c r="E174" s="103">
        <v>107.11</v>
      </c>
      <c r="F174" s="71">
        <v>0.00687</v>
      </c>
      <c r="G174" s="70">
        <v>16.81</v>
      </c>
      <c r="H174" s="72">
        <f t="shared" si="11"/>
        <v>123.92</v>
      </c>
      <c r="I174" s="73"/>
    </row>
    <row r="175">
      <c r="A175" s="75"/>
      <c r="B175" s="75"/>
      <c r="C175" s="103" t="s">
        <v>165</v>
      </c>
      <c r="D175" s="101"/>
      <c r="E175" s="103">
        <v>112.01</v>
      </c>
      <c r="F175" s="71">
        <v>0.00718</v>
      </c>
      <c r="G175" s="70">
        <v>17.57</v>
      </c>
      <c r="H175" s="72">
        <f t="shared" si="11"/>
        <v>129.58</v>
      </c>
      <c r="I175" s="73"/>
    </row>
    <row r="176">
      <c r="A176" s="106" t="s">
        <v>166</v>
      </c>
      <c r="B176" s="107">
        <v>3.0</v>
      </c>
      <c r="C176" s="103" t="s">
        <v>167</v>
      </c>
      <c r="D176" s="101"/>
      <c r="E176" s="103">
        <v>43.24</v>
      </c>
      <c r="F176" s="71">
        <v>0.0029</v>
      </c>
      <c r="G176" s="70">
        <v>7.08</v>
      </c>
      <c r="H176" s="72">
        <f t="shared" si="11"/>
        <v>50.32</v>
      </c>
      <c r="I176" s="73"/>
    </row>
    <row r="177">
      <c r="A177" s="74"/>
      <c r="B177" s="74"/>
      <c r="C177" s="103" t="s">
        <v>168</v>
      </c>
      <c r="D177" s="101"/>
      <c r="E177" s="103">
        <v>108.7</v>
      </c>
      <c r="F177" s="71">
        <v>0.0073</v>
      </c>
      <c r="G177" s="70">
        <v>18.23</v>
      </c>
      <c r="H177" s="72">
        <f t="shared" si="11"/>
        <v>126.93</v>
      </c>
      <c r="I177" s="73"/>
    </row>
    <row r="178">
      <c r="A178" s="74"/>
      <c r="B178" s="74"/>
      <c r="C178" s="103" t="s">
        <v>169</v>
      </c>
      <c r="D178" s="101"/>
      <c r="E178" s="103">
        <v>69.69</v>
      </c>
      <c r="F178" s="71">
        <v>0.0048</v>
      </c>
      <c r="G178" s="70">
        <v>11.99</v>
      </c>
      <c r="H178" s="72">
        <f t="shared" si="11"/>
        <v>81.68</v>
      </c>
      <c r="I178" s="73"/>
    </row>
    <row r="179">
      <c r="A179" s="75"/>
      <c r="B179" s="75"/>
      <c r="C179" s="103" t="s">
        <v>170</v>
      </c>
      <c r="D179" s="101"/>
      <c r="E179" s="103">
        <v>97.15</v>
      </c>
      <c r="F179" s="71">
        <v>0.00622</v>
      </c>
      <c r="G179" s="70">
        <v>15.86</v>
      </c>
      <c r="H179" s="72">
        <f t="shared" si="11"/>
        <v>113.01</v>
      </c>
      <c r="I179" s="73"/>
    </row>
    <row r="180">
      <c r="A180" s="106" t="s">
        <v>172</v>
      </c>
      <c r="B180" s="107">
        <v>6.0</v>
      </c>
      <c r="C180" s="103" t="s">
        <v>173</v>
      </c>
      <c r="D180" s="101"/>
      <c r="E180" s="103">
        <v>43.24</v>
      </c>
      <c r="F180" s="71">
        <v>0.0029</v>
      </c>
      <c r="G180" s="70">
        <v>7.08</v>
      </c>
      <c r="H180" s="72">
        <f t="shared" si="11"/>
        <v>50.32</v>
      </c>
      <c r="I180" s="73"/>
    </row>
    <row r="181">
      <c r="A181" s="74"/>
      <c r="B181" s="74"/>
      <c r="C181" s="103" t="s">
        <v>174</v>
      </c>
      <c r="D181" s="101"/>
      <c r="E181" s="103">
        <v>108.7</v>
      </c>
      <c r="F181" s="71">
        <v>0.00745</v>
      </c>
      <c r="G181" s="70">
        <v>18.23</v>
      </c>
      <c r="H181" s="72">
        <f t="shared" si="11"/>
        <v>126.93</v>
      </c>
      <c r="I181" s="73"/>
    </row>
    <row r="182">
      <c r="A182" s="74"/>
      <c r="B182" s="74"/>
      <c r="C182" s="103" t="s">
        <v>175</v>
      </c>
      <c r="D182" s="101"/>
      <c r="E182" s="103">
        <v>69.69</v>
      </c>
      <c r="F182" s="71">
        <v>0.0049</v>
      </c>
      <c r="G182" s="70">
        <v>11.99</v>
      </c>
      <c r="H182" s="72">
        <f t="shared" si="11"/>
        <v>81.68</v>
      </c>
      <c r="I182" s="73"/>
    </row>
    <row r="183">
      <c r="A183" s="75"/>
      <c r="B183" s="75"/>
      <c r="C183" s="103" t="s">
        <v>176</v>
      </c>
      <c r="D183" s="101"/>
      <c r="E183" s="103">
        <v>97.15</v>
      </c>
      <c r="F183" s="71">
        <v>0.00648</v>
      </c>
      <c r="G183" s="70">
        <v>15.86</v>
      </c>
      <c r="H183" s="72">
        <f t="shared" si="11"/>
        <v>113.01</v>
      </c>
      <c r="I183" s="73"/>
    </row>
    <row r="184">
      <c r="A184" s="106" t="s">
        <v>178</v>
      </c>
      <c r="B184" s="107">
        <v>9.0</v>
      </c>
      <c r="C184" s="103" t="s">
        <v>179</v>
      </c>
      <c r="D184" s="101"/>
      <c r="E184" s="103">
        <v>43.24</v>
      </c>
      <c r="F184" s="71">
        <v>0.0029</v>
      </c>
      <c r="G184" s="70">
        <v>7.08</v>
      </c>
      <c r="H184" s="72">
        <f t="shared" si="11"/>
        <v>50.32</v>
      </c>
      <c r="I184" s="73"/>
    </row>
    <row r="185">
      <c r="A185" s="74"/>
      <c r="B185" s="74"/>
      <c r="C185" s="103" t="s">
        <v>180</v>
      </c>
      <c r="D185" s="101"/>
      <c r="E185" s="103">
        <v>108.7</v>
      </c>
      <c r="F185" s="71">
        <v>0.00745</v>
      </c>
      <c r="G185" s="70">
        <v>18.23</v>
      </c>
      <c r="H185" s="72">
        <f t="shared" si="11"/>
        <v>126.93</v>
      </c>
      <c r="I185" s="73"/>
    </row>
    <row r="186">
      <c r="A186" s="74"/>
      <c r="B186" s="74"/>
      <c r="C186" s="103" t="s">
        <v>181</v>
      </c>
      <c r="D186" s="101"/>
      <c r="E186" s="103">
        <v>69.69</v>
      </c>
      <c r="F186" s="71">
        <v>0.0049</v>
      </c>
      <c r="G186" s="70">
        <v>11.99</v>
      </c>
      <c r="H186" s="72">
        <f t="shared" si="11"/>
        <v>81.68</v>
      </c>
      <c r="I186" s="73"/>
    </row>
    <row r="187">
      <c r="A187" s="75"/>
      <c r="B187" s="75"/>
      <c r="C187" s="103" t="s">
        <v>182</v>
      </c>
      <c r="D187" s="101"/>
      <c r="E187" s="103">
        <v>97.15</v>
      </c>
      <c r="F187" s="71">
        <v>0.00648</v>
      </c>
      <c r="G187" s="70">
        <v>15.86</v>
      </c>
      <c r="H187" s="72">
        <f t="shared" si="11"/>
        <v>113.01</v>
      </c>
      <c r="I187" s="73"/>
    </row>
    <row r="188">
      <c r="A188" s="106" t="s">
        <v>184</v>
      </c>
      <c r="B188" s="107">
        <v>12.0</v>
      </c>
      <c r="C188" s="103" t="s">
        <v>185</v>
      </c>
      <c r="D188" s="101"/>
      <c r="E188" s="103">
        <v>43.24</v>
      </c>
      <c r="F188" s="71">
        <v>0.0029</v>
      </c>
      <c r="G188" s="70">
        <v>7.08</v>
      </c>
      <c r="H188" s="72">
        <f t="shared" si="11"/>
        <v>50.32</v>
      </c>
      <c r="I188" s="73"/>
    </row>
    <row r="189">
      <c r="A189" s="74"/>
      <c r="B189" s="74"/>
      <c r="C189" s="103" t="s">
        <v>186</v>
      </c>
      <c r="D189" s="101"/>
      <c r="E189" s="103">
        <v>108.7</v>
      </c>
      <c r="F189" s="71">
        <v>0.00745</v>
      </c>
      <c r="G189" s="70">
        <v>18.23</v>
      </c>
      <c r="H189" s="72">
        <f t="shared" si="11"/>
        <v>126.93</v>
      </c>
      <c r="I189" s="73"/>
    </row>
    <row r="190">
      <c r="A190" s="74"/>
      <c r="B190" s="74"/>
      <c r="C190" s="103" t="s">
        <v>202</v>
      </c>
      <c r="D190" s="101"/>
      <c r="E190" s="103">
        <v>69.69</v>
      </c>
      <c r="F190" s="71">
        <v>0.0049</v>
      </c>
      <c r="G190" s="70">
        <v>11.99</v>
      </c>
      <c r="H190" s="72">
        <f t="shared" si="11"/>
        <v>81.68</v>
      </c>
      <c r="I190" s="73"/>
    </row>
    <row r="191">
      <c r="A191" s="75"/>
      <c r="B191" s="75"/>
      <c r="C191" s="103" t="s">
        <v>188</v>
      </c>
      <c r="D191" s="101"/>
      <c r="E191" s="103">
        <v>97.15</v>
      </c>
      <c r="F191" s="71">
        <v>0.00648</v>
      </c>
      <c r="G191" s="70">
        <v>15.86</v>
      </c>
      <c r="H191" s="72">
        <f t="shared" si="11"/>
        <v>113.01</v>
      </c>
      <c r="I191" s="73"/>
    </row>
    <row r="192">
      <c r="A192" s="106" t="s">
        <v>190</v>
      </c>
      <c r="B192" s="107">
        <v>15.0</v>
      </c>
      <c r="C192" s="103" t="s">
        <v>191</v>
      </c>
      <c r="D192" s="101"/>
      <c r="E192" s="103">
        <v>43.56</v>
      </c>
      <c r="F192" s="71">
        <v>0.00292</v>
      </c>
      <c r="G192" s="70">
        <v>7.13</v>
      </c>
      <c r="H192" s="72">
        <f t="shared" si="11"/>
        <v>50.69</v>
      </c>
      <c r="I192" s="73"/>
    </row>
    <row r="193">
      <c r="A193" s="74"/>
      <c r="B193" s="74"/>
      <c r="C193" s="103" t="s">
        <v>192</v>
      </c>
      <c r="D193" s="101"/>
      <c r="E193" s="103">
        <v>104.19</v>
      </c>
      <c r="F193" s="71">
        <v>0.00714</v>
      </c>
      <c r="G193" s="70">
        <v>17.47</v>
      </c>
      <c r="H193" s="72">
        <f t="shared" si="11"/>
        <v>121.66</v>
      </c>
      <c r="I193" s="73"/>
    </row>
    <row r="194">
      <c r="A194" s="74"/>
      <c r="B194" s="74"/>
      <c r="C194" s="103" t="s">
        <v>193</v>
      </c>
      <c r="D194" s="101"/>
      <c r="E194" s="103">
        <v>67.12</v>
      </c>
      <c r="F194" s="71">
        <v>0.00472</v>
      </c>
      <c r="G194" s="70">
        <v>11.55</v>
      </c>
      <c r="H194" s="72">
        <f t="shared" si="11"/>
        <v>78.67</v>
      </c>
      <c r="I194" s="73"/>
    </row>
    <row r="195">
      <c r="A195" s="75"/>
      <c r="B195" s="75"/>
      <c r="C195" s="103" t="s">
        <v>194</v>
      </c>
      <c r="D195" s="101"/>
      <c r="E195" s="103">
        <v>95.22</v>
      </c>
      <c r="F195" s="71">
        <v>0.00635</v>
      </c>
      <c r="G195" s="70">
        <v>15.55</v>
      </c>
      <c r="H195" s="72">
        <f t="shared" si="11"/>
        <v>110.77</v>
      </c>
      <c r="I195" s="73"/>
    </row>
    <row r="196">
      <c r="A196" s="106" t="s">
        <v>195</v>
      </c>
      <c r="B196" s="107">
        <v>18.0</v>
      </c>
      <c r="C196" s="103" t="s">
        <v>196</v>
      </c>
      <c r="D196" s="101"/>
      <c r="E196" s="103">
        <v>133.56</v>
      </c>
      <c r="F196" s="71">
        <v>0.00971</v>
      </c>
      <c r="G196" s="70">
        <v>23.76</v>
      </c>
      <c r="H196" s="72">
        <f t="shared" si="11"/>
        <v>157.32</v>
      </c>
      <c r="I196" s="73"/>
    </row>
    <row r="197">
      <c r="A197" s="74"/>
      <c r="B197" s="74"/>
      <c r="C197" s="103" t="s">
        <v>197</v>
      </c>
      <c r="D197" s="101"/>
      <c r="E197" s="103">
        <v>66.99</v>
      </c>
      <c r="F197" s="71">
        <v>0.00471</v>
      </c>
      <c r="G197" s="70">
        <v>11.53</v>
      </c>
      <c r="H197" s="72">
        <f t="shared" si="11"/>
        <v>78.52</v>
      </c>
      <c r="I197" s="73"/>
    </row>
    <row r="198">
      <c r="A198" s="75"/>
      <c r="B198" s="75"/>
      <c r="C198" s="103" t="s">
        <v>198</v>
      </c>
      <c r="D198" s="101"/>
      <c r="E198" s="103">
        <v>85.25</v>
      </c>
      <c r="F198" s="71">
        <v>0.00641</v>
      </c>
      <c r="G198" s="70">
        <v>15.67</v>
      </c>
      <c r="H198" s="72">
        <f t="shared" si="11"/>
        <v>100.92</v>
      </c>
      <c r="I198" s="73"/>
    </row>
    <row r="199">
      <c r="A199" s="76" t="s">
        <v>220</v>
      </c>
      <c r="B199" s="65"/>
      <c r="C199" s="65"/>
      <c r="D199" s="77"/>
      <c r="E199" s="103">
        <f>sum(E172:E198)</f>
        <v>2138.85</v>
      </c>
      <c r="F199" s="71">
        <f>SUM(F172:F198)</f>
        <v>0.14565</v>
      </c>
      <c r="G199" s="70">
        <f t="shared" ref="G199:H199" si="12">sum(G172:G198)</f>
        <v>357.66</v>
      </c>
      <c r="H199" s="72">
        <f t="shared" si="12"/>
        <v>2496.51</v>
      </c>
      <c r="I199" s="73"/>
    </row>
    <row r="200">
      <c r="A200" s="104" t="s">
        <v>221</v>
      </c>
      <c r="B200" s="105"/>
      <c r="C200" s="105"/>
      <c r="D200" s="81"/>
      <c r="E200" s="105"/>
      <c r="F200" s="81"/>
      <c r="G200" s="81"/>
      <c r="H200" s="82"/>
      <c r="I200" s="49"/>
    </row>
    <row r="201">
      <c r="A201" s="106" t="s">
        <v>201</v>
      </c>
      <c r="B201" s="107">
        <v>0.0</v>
      </c>
      <c r="C201" s="103" t="s">
        <v>159</v>
      </c>
      <c r="D201" s="99" t="s">
        <v>158</v>
      </c>
      <c r="E201" s="103">
        <v>19.98</v>
      </c>
      <c r="F201" s="71">
        <v>0.00132</v>
      </c>
      <c r="G201" s="70">
        <v>3.27</v>
      </c>
      <c r="H201" s="72">
        <f t="shared" ref="H201:H249" si="13">E201+G201</f>
        <v>23.25</v>
      </c>
      <c r="I201" s="73"/>
    </row>
    <row r="202">
      <c r="A202" s="74"/>
      <c r="B202" s="74"/>
      <c r="C202" s="103" t="s">
        <v>164</v>
      </c>
      <c r="D202" s="101"/>
      <c r="E202" s="103">
        <v>107.11</v>
      </c>
      <c r="F202" s="71">
        <v>0.00687</v>
      </c>
      <c r="G202" s="70">
        <v>16.81</v>
      </c>
      <c r="H202" s="72">
        <f t="shared" si="13"/>
        <v>123.92</v>
      </c>
      <c r="I202" s="73"/>
    </row>
    <row r="203">
      <c r="A203" s="75"/>
      <c r="B203" s="75"/>
      <c r="C203" s="103" t="s">
        <v>165</v>
      </c>
      <c r="D203" s="101"/>
      <c r="E203" s="103">
        <v>113.57</v>
      </c>
      <c r="F203" s="71">
        <v>0.00728</v>
      </c>
      <c r="G203" s="70">
        <v>17.82</v>
      </c>
      <c r="H203" s="72">
        <f t="shared" si="13"/>
        <v>131.39</v>
      </c>
      <c r="I203" s="73"/>
    </row>
    <row r="204">
      <c r="A204" s="106" t="s">
        <v>166</v>
      </c>
      <c r="B204" s="107">
        <v>3.0</v>
      </c>
      <c r="C204" s="103" t="s">
        <v>167</v>
      </c>
      <c r="D204" s="101"/>
      <c r="E204" s="103">
        <v>43.24</v>
      </c>
      <c r="F204" s="71">
        <v>0.0029</v>
      </c>
      <c r="G204" s="70">
        <v>7.08</v>
      </c>
      <c r="H204" s="72">
        <f t="shared" si="13"/>
        <v>50.32</v>
      </c>
      <c r="I204" s="73"/>
    </row>
    <row r="205">
      <c r="A205" s="74"/>
      <c r="B205" s="74"/>
      <c r="C205" s="103" t="s">
        <v>168</v>
      </c>
      <c r="D205" s="101"/>
      <c r="E205" s="103">
        <v>108.7</v>
      </c>
      <c r="F205" s="71">
        <v>0.0073</v>
      </c>
      <c r="G205" s="70">
        <v>18.23</v>
      </c>
      <c r="H205" s="72">
        <f t="shared" si="13"/>
        <v>126.93</v>
      </c>
      <c r="I205" s="73"/>
    </row>
    <row r="206">
      <c r="A206" s="74"/>
      <c r="B206" s="74"/>
      <c r="C206" s="103" t="s">
        <v>169</v>
      </c>
      <c r="D206" s="101"/>
      <c r="E206" s="103">
        <v>69.69</v>
      </c>
      <c r="F206" s="71">
        <v>0.0048</v>
      </c>
      <c r="G206" s="70">
        <v>11.99</v>
      </c>
      <c r="H206" s="72">
        <f t="shared" si="13"/>
        <v>81.68</v>
      </c>
      <c r="I206" s="73"/>
    </row>
    <row r="207">
      <c r="A207" s="75"/>
      <c r="B207" s="75"/>
      <c r="C207" s="103" t="s">
        <v>170</v>
      </c>
      <c r="D207" s="101"/>
      <c r="E207" s="103">
        <v>98.71</v>
      </c>
      <c r="F207" s="71">
        <v>0.00632</v>
      </c>
      <c r="G207" s="70">
        <v>16.12</v>
      </c>
      <c r="H207" s="72">
        <f t="shared" si="13"/>
        <v>114.83</v>
      </c>
      <c r="I207" s="73"/>
    </row>
    <row r="208">
      <c r="A208" s="106" t="s">
        <v>172</v>
      </c>
      <c r="B208" s="107">
        <v>6.0</v>
      </c>
      <c r="C208" s="103" t="s">
        <v>173</v>
      </c>
      <c r="D208" s="101"/>
      <c r="E208" s="103">
        <v>43.24</v>
      </c>
      <c r="F208" s="71">
        <v>0.0029</v>
      </c>
      <c r="G208" s="70">
        <v>7.08</v>
      </c>
      <c r="H208" s="72">
        <f t="shared" si="13"/>
        <v>50.32</v>
      </c>
      <c r="I208" s="73"/>
    </row>
    <row r="209">
      <c r="A209" s="74"/>
      <c r="B209" s="74"/>
      <c r="C209" s="103" t="s">
        <v>174</v>
      </c>
      <c r="D209" s="101"/>
      <c r="E209" s="103">
        <v>108.7</v>
      </c>
      <c r="F209" s="71">
        <v>0.00745</v>
      </c>
      <c r="G209" s="70">
        <v>18.23</v>
      </c>
      <c r="H209" s="72">
        <f t="shared" si="13"/>
        <v>126.93</v>
      </c>
      <c r="I209" s="73"/>
    </row>
    <row r="210">
      <c r="A210" s="74"/>
      <c r="B210" s="74"/>
      <c r="C210" s="103" t="s">
        <v>175</v>
      </c>
      <c r="D210" s="101"/>
      <c r="E210" s="103">
        <v>69.69</v>
      </c>
      <c r="F210" s="71">
        <v>0.0049</v>
      </c>
      <c r="G210" s="70">
        <v>11.99</v>
      </c>
      <c r="H210" s="72">
        <f t="shared" si="13"/>
        <v>81.68</v>
      </c>
      <c r="I210" s="73"/>
    </row>
    <row r="211">
      <c r="A211" s="75"/>
      <c r="B211" s="75"/>
      <c r="C211" s="103" t="s">
        <v>176</v>
      </c>
      <c r="D211" s="101"/>
      <c r="E211" s="103">
        <v>98.71</v>
      </c>
      <c r="F211" s="71">
        <v>0.00659</v>
      </c>
      <c r="G211" s="70">
        <v>16.12</v>
      </c>
      <c r="H211" s="72">
        <f t="shared" si="13"/>
        <v>114.83</v>
      </c>
      <c r="I211" s="73"/>
    </row>
    <row r="212">
      <c r="A212" s="106" t="s">
        <v>178</v>
      </c>
      <c r="B212" s="107">
        <v>9.0</v>
      </c>
      <c r="C212" s="103" t="s">
        <v>179</v>
      </c>
      <c r="D212" s="101"/>
      <c r="E212" s="103">
        <v>43.24</v>
      </c>
      <c r="F212" s="71">
        <v>0.0029</v>
      </c>
      <c r="G212" s="70">
        <v>7.08</v>
      </c>
      <c r="H212" s="72">
        <f t="shared" si="13"/>
        <v>50.32</v>
      </c>
      <c r="I212" s="73"/>
    </row>
    <row r="213">
      <c r="A213" s="74"/>
      <c r="B213" s="74"/>
      <c r="C213" s="103" t="s">
        <v>180</v>
      </c>
      <c r="D213" s="101"/>
      <c r="E213" s="103">
        <v>108.7</v>
      </c>
      <c r="F213" s="71">
        <v>0.00745</v>
      </c>
      <c r="G213" s="70">
        <v>18.23</v>
      </c>
      <c r="H213" s="72">
        <f t="shared" si="13"/>
        <v>126.93</v>
      </c>
      <c r="I213" s="73"/>
    </row>
    <row r="214">
      <c r="A214" s="74"/>
      <c r="B214" s="74"/>
      <c r="C214" s="103" t="s">
        <v>181</v>
      </c>
      <c r="D214" s="101"/>
      <c r="E214" s="103">
        <v>69.69</v>
      </c>
      <c r="F214" s="71">
        <v>0.0049</v>
      </c>
      <c r="G214" s="70">
        <v>11.99</v>
      </c>
      <c r="H214" s="72">
        <f t="shared" si="13"/>
        <v>81.68</v>
      </c>
      <c r="I214" s="73"/>
    </row>
    <row r="215">
      <c r="A215" s="75"/>
      <c r="B215" s="75"/>
      <c r="C215" s="103" t="s">
        <v>182</v>
      </c>
      <c r="D215" s="101"/>
      <c r="E215" s="103">
        <v>98.71</v>
      </c>
      <c r="F215" s="71">
        <v>0.00659</v>
      </c>
      <c r="G215" s="70">
        <v>16.12</v>
      </c>
      <c r="H215" s="72">
        <f t="shared" si="13"/>
        <v>114.83</v>
      </c>
      <c r="I215" s="73"/>
    </row>
    <row r="216">
      <c r="A216" s="106" t="s">
        <v>184</v>
      </c>
      <c r="B216" s="107">
        <v>12.0</v>
      </c>
      <c r="C216" s="103" t="s">
        <v>185</v>
      </c>
      <c r="D216" s="101"/>
      <c r="E216" s="103">
        <v>43.24</v>
      </c>
      <c r="F216" s="71">
        <v>0.0029</v>
      </c>
      <c r="G216" s="70">
        <v>7.08</v>
      </c>
      <c r="H216" s="72">
        <f t="shared" si="13"/>
        <v>50.32</v>
      </c>
      <c r="I216" s="73"/>
    </row>
    <row r="217">
      <c r="A217" s="74"/>
      <c r="B217" s="74"/>
      <c r="C217" s="103" t="s">
        <v>186</v>
      </c>
      <c r="D217" s="101"/>
      <c r="E217" s="103">
        <v>108.7</v>
      </c>
      <c r="F217" s="71">
        <v>0.00745</v>
      </c>
      <c r="G217" s="70">
        <v>18.23</v>
      </c>
      <c r="H217" s="72">
        <f t="shared" si="13"/>
        <v>126.93</v>
      </c>
      <c r="I217" s="108"/>
    </row>
    <row r="218">
      <c r="A218" s="74"/>
      <c r="B218" s="74"/>
      <c r="C218" s="103" t="s">
        <v>202</v>
      </c>
      <c r="D218" s="101"/>
      <c r="E218" s="103">
        <v>69.69</v>
      </c>
      <c r="F218" s="71">
        <v>0.0049</v>
      </c>
      <c r="G218" s="70">
        <v>11.99</v>
      </c>
      <c r="H218" s="72">
        <f t="shared" si="13"/>
        <v>81.68</v>
      </c>
      <c r="I218" s="73"/>
    </row>
    <row r="219">
      <c r="A219" s="75"/>
      <c r="B219" s="75"/>
      <c r="C219" s="103" t="s">
        <v>188</v>
      </c>
      <c r="D219" s="101"/>
      <c r="E219" s="103">
        <v>98.71</v>
      </c>
      <c r="F219" s="71">
        <v>0.00659</v>
      </c>
      <c r="G219" s="70">
        <v>16.12</v>
      </c>
      <c r="H219" s="72">
        <f t="shared" si="13"/>
        <v>114.83</v>
      </c>
      <c r="I219" s="73"/>
    </row>
    <row r="220">
      <c r="A220" s="106" t="s">
        <v>190</v>
      </c>
      <c r="B220" s="107">
        <v>15.0</v>
      </c>
      <c r="C220" s="103" t="s">
        <v>191</v>
      </c>
      <c r="D220" s="101"/>
      <c r="E220" s="103">
        <v>43.56</v>
      </c>
      <c r="F220" s="71">
        <v>0.00292</v>
      </c>
      <c r="G220" s="70">
        <v>7.13</v>
      </c>
      <c r="H220" s="72">
        <f t="shared" si="13"/>
        <v>50.69</v>
      </c>
      <c r="I220" s="73"/>
    </row>
    <row r="221">
      <c r="A221" s="74"/>
      <c r="B221" s="74"/>
      <c r="C221" s="103" t="s">
        <v>192</v>
      </c>
      <c r="D221" s="101"/>
      <c r="E221" s="103">
        <v>104.19</v>
      </c>
      <c r="F221" s="71">
        <v>0.00714</v>
      </c>
      <c r="G221" s="70">
        <v>17.47</v>
      </c>
      <c r="H221" s="72">
        <f t="shared" si="13"/>
        <v>121.66</v>
      </c>
      <c r="I221" s="73"/>
    </row>
    <row r="222">
      <c r="A222" s="74"/>
      <c r="B222" s="74"/>
      <c r="C222" s="103" t="s">
        <v>193</v>
      </c>
      <c r="D222" s="101"/>
      <c r="E222" s="103">
        <v>67.12</v>
      </c>
      <c r="F222" s="71">
        <v>0.00472</v>
      </c>
      <c r="G222" s="70">
        <v>11.55</v>
      </c>
      <c r="H222" s="72">
        <f t="shared" si="13"/>
        <v>78.67</v>
      </c>
      <c r="I222" s="73"/>
    </row>
    <row r="223">
      <c r="A223" s="75"/>
      <c r="B223" s="75"/>
      <c r="C223" s="103" t="s">
        <v>194</v>
      </c>
      <c r="D223" s="101"/>
      <c r="E223" s="103">
        <v>96.78</v>
      </c>
      <c r="F223" s="71">
        <v>0.00646</v>
      </c>
      <c r="G223" s="70">
        <v>15.8</v>
      </c>
      <c r="H223" s="72">
        <f t="shared" si="13"/>
        <v>112.58</v>
      </c>
      <c r="I223" s="73"/>
    </row>
    <row r="224">
      <c r="A224" s="106" t="s">
        <v>195</v>
      </c>
      <c r="B224" s="107">
        <v>18.0</v>
      </c>
      <c r="C224" s="103" t="s">
        <v>196</v>
      </c>
      <c r="D224" s="101"/>
      <c r="E224" s="103">
        <v>133.56</v>
      </c>
      <c r="F224" s="71">
        <v>0.00971</v>
      </c>
      <c r="G224" s="70">
        <v>23.76</v>
      </c>
      <c r="H224" s="72">
        <f t="shared" si="13"/>
        <v>157.32</v>
      </c>
      <c r="I224" s="73"/>
    </row>
    <row r="225">
      <c r="A225" s="74"/>
      <c r="B225" s="74"/>
      <c r="C225" s="103" t="s">
        <v>197</v>
      </c>
      <c r="D225" s="101"/>
      <c r="E225" s="103">
        <v>66.99</v>
      </c>
      <c r="F225" s="71">
        <v>0.00471</v>
      </c>
      <c r="G225" s="70">
        <v>11.53</v>
      </c>
      <c r="H225" s="72">
        <f t="shared" si="13"/>
        <v>78.52</v>
      </c>
      <c r="I225" s="73"/>
    </row>
    <row r="226">
      <c r="A226" s="75"/>
      <c r="B226" s="75"/>
      <c r="C226" s="103" t="s">
        <v>198</v>
      </c>
      <c r="D226" s="101"/>
      <c r="E226" s="103">
        <v>86.8</v>
      </c>
      <c r="F226" s="71">
        <v>0.00651</v>
      </c>
      <c r="G226" s="70">
        <v>15.93</v>
      </c>
      <c r="H226" s="72">
        <f t="shared" si="13"/>
        <v>102.73</v>
      </c>
      <c r="I226" s="73"/>
    </row>
    <row r="227">
      <c r="A227" s="106" t="s">
        <v>94</v>
      </c>
      <c r="B227" s="106">
        <v>-3.3</v>
      </c>
      <c r="C227" s="103" t="s">
        <v>203</v>
      </c>
      <c r="D227" s="99" t="s">
        <v>204</v>
      </c>
      <c r="E227" s="70">
        <v>3.8188888888888886</v>
      </c>
      <c r="F227" s="71">
        <v>7.0E-5</v>
      </c>
      <c r="G227" s="70">
        <v>0.17888888888888888</v>
      </c>
      <c r="H227" s="72">
        <f t="shared" si="13"/>
        <v>3.997777778</v>
      </c>
      <c r="I227" s="73"/>
    </row>
    <row r="228">
      <c r="A228" s="74"/>
      <c r="B228" s="74"/>
      <c r="C228" s="103" t="s">
        <v>205</v>
      </c>
      <c r="D228" s="99" t="s">
        <v>204</v>
      </c>
      <c r="E228" s="70">
        <v>3.2733333333333334</v>
      </c>
      <c r="F228" s="71">
        <v>6.0E-5</v>
      </c>
      <c r="G228" s="70">
        <v>0.15333333333333335</v>
      </c>
      <c r="H228" s="72">
        <f t="shared" si="13"/>
        <v>3.426666667</v>
      </c>
      <c r="I228" s="73"/>
    </row>
    <row r="229">
      <c r="A229" s="74"/>
      <c r="B229" s="74"/>
      <c r="C229" s="103" t="s">
        <v>206</v>
      </c>
      <c r="D229" s="99" t="s">
        <v>204</v>
      </c>
      <c r="E229" s="100">
        <v>4.29</v>
      </c>
      <c r="F229" s="71">
        <v>8.0E-5</v>
      </c>
      <c r="G229" s="70">
        <v>0.20444444444444446</v>
      </c>
      <c r="H229" s="72">
        <f t="shared" si="13"/>
        <v>4.494444444</v>
      </c>
      <c r="I229" s="73"/>
    </row>
    <row r="230">
      <c r="A230" s="74"/>
      <c r="B230" s="74"/>
      <c r="C230" s="103" t="s">
        <v>207</v>
      </c>
      <c r="D230" s="99" t="s">
        <v>204</v>
      </c>
      <c r="E230" s="70">
        <v>4.91</v>
      </c>
      <c r="F230" s="71">
        <v>9.0E-5</v>
      </c>
      <c r="G230" s="70">
        <v>0.23</v>
      </c>
      <c r="H230" s="72">
        <f t="shared" si="13"/>
        <v>5.14</v>
      </c>
      <c r="I230" s="73"/>
    </row>
    <row r="231">
      <c r="A231" s="74"/>
      <c r="B231" s="74"/>
      <c r="C231" s="103" t="s">
        <v>208</v>
      </c>
      <c r="D231" s="99" t="s">
        <v>204</v>
      </c>
      <c r="E231" s="70">
        <v>5.455555555555556</v>
      </c>
      <c r="F231" s="71">
        <v>1.0E-4</v>
      </c>
      <c r="G231" s="70">
        <v>0.2555555555555556</v>
      </c>
      <c r="H231" s="72">
        <f t="shared" si="13"/>
        <v>5.711111111</v>
      </c>
      <c r="I231" s="73"/>
    </row>
    <row r="232">
      <c r="A232" s="74"/>
      <c r="B232" s="74"/>
      <c r="C232" s="103" t="s">
        <v>209</v>
      </c>
      <c r="D232" s="99" t="s">
        <v>204</v>
      </c>
      <c r="E232" s="70">
        <v>2.1822222222222223</v>
      </c>
      <c r="F232" s="71">
        <v>4.0E-5</v>
      </c>
      <c r="G232" s="70">
        <v>0.10222222222222223</v>
      </c>
      <c r="H232" s="72">
        <f t="shared" si="13"/>
        <v>2.284444444</v>
      </c>
      <c r="I232" s="73"/>
    </row>
    <row r="233">
      <c r="A233" s="74"/>
      <c r="B233" s="74"/>
      <c r="C233" s="103" t="s">
        <v>211</v>
      </c>
      <c r="D233" s="99" t="s">
        <v>204</v>
      </c>
      <c r="E233" s="70">
        <v>2.1822222222222223</v>
      </c>
      <c r="F233" s="71">
        <v>4.0E-5</v>
      </c>
      <c r="G233" s="70">
        <v>0.10222222222222223</v>
      </c>
      <c r="H233" s="72">
        <f t="shared" si="13"/>
        <v>2.284444444</v>
      </c>
      <c r="I233" s="73"/>
    </row>
    <row r="234">
      <c r="A234" s="74"/>
      <c r="B234" s="74"/>
      <c r="C234" s="103" t="s">
        <v>212</v>
      </c>
      <c r="D234" s="99" t="s">
        <v>204</v>
      </c>
      <c r="E234" s="70">
        <v>2.727777777777778</v>
      </c>
      <c r="F234" s="71">
        <v>5.0E-5</v>
      </c>
      <c r="G234" s="70">
        <v>0.1277777777777778</v>
      </c>
      <c r="H234" s="72">
        <f t="shared" si="13"/>
        <v>2.855555556</v>
      </c>
      <c r="I234" s="73"/>
    </row>
    <row r="235">
      <c r="A235" s="74"/>
      <c r="B235" s="74"/>
      <c r="C235" s="103" t="s">
        <v>213</v>
      </c>
      <c r="D235" s="99" t="s">
        <v>204</v>
      </c>
      <c r="E235" s="70">
        <v>3.8188888888888886</v>
      </c>
      <c r="F235" s="71">
        <v>7.0E-5</v>
      </c>
      <c r="G235" s="70">
        <v>0.17888888888888888</v>
      </c>
      <c r="H235" s="72">
        <f t="shared" si="13"/>
        <v>3.997777778</v>
      </c>
      <c r="I235" s="73"/>
    </row>
    <row r="236">
      <c r="A236" s="74"/>
      <c r="B236" s="74"/>
      <c r="C236" s="103" t="s">
        <v>222</v>
      </c>
      <c r="D236" s="99" t="s">
        <v>204</v>
      </c>
      <c r="E236" s="70">
        <v>3.8188888888888886</v>
      </c>
      <c r="F236" s="71">
        <v>7.0E-5</v>
      </c>
      <c r="G236" s="70">
        <v>0.17888888888888888</v>
      </c>
      <c r="H236" s="72">
        <f t="shared" si="13"/>
        <v>3.997777778</v>
      </c>
      <c r="I236" s="73"/>
    </row>
    <row r="237">
      <c r="A237" s="74"/>
      <c r="B237" s="74"/>
      <c r="C237" s="103" t="s">
        <v>216</v>
      </c>
      <c r="D237" s="99" t="s">
        <v>204</v>
      </c>
      <c r="E237" s="70">
        <v>4.91</v>
      </c>
      <c r="F237" s="71">
        <v>9.0E-5</v>
      </c>
      <c r="G237" s="70">
        <v>0.23</v>
      </c>
      <c r="H237" s="72">
        <f t="shared" si="13"/>
        <v>5.14</v>
      </c>
      <c r="I237" s="73"/>
    </row>
    <row r="238">
      <c r="A238" s="74"/>
      <c r="B238" s="74"/>
      <c r="C238" s="103" t="s">
        <v>217</v>
      </c>
      <c r="D238" s="99" t="s">
        <v>204</v>
      </c>
      <c r="E238" s="70">
        <v>5.455555555555556</v>
      </c>
      <c r="F238" s="71">
        <v>1.0E-4</v>
      </c>
      <c r="G238" s="70">
        <v>0.2555555555555556</v>
      </c>
      <c r="H238" s="72">
        <f t="shared" si="13"/>
        <v>5.711111111</v>
      </c>
      <c r="I238" s="73"/>
    </row>
    <row r="239">
      <c r="A239" s="74"/>
      <c r="B239" s="74"/>
      <c r="C239" s="103" t="s">
        <v>223</v>
      </c>
      <c r="D239" s="99" t="s">
        <v>204</v>
      </c>
      <c r="E239" s="70">
        <v>4.91</v>
      </c>
      <c r="F239" s="71">
        <v>9.0E-5</v>
      </c>
      <c r="G239" s="70">
        <v>0.23</v>
      </c>
      <c r="H239" s="72">
        <f t="shared" si="13"/>
        <v>5.14</v>
      </c>
      <c r="I239" s="73"/>
    </row>
    <row r="240">
      <c r="A240" s="74"/>
      <c r="B240" s="74"/>
      <c r="C240" s="103" t="s">
        <v>224</v>
      </c>
      <c r="D240" s="99" t="s">
        <v>204</v>
      </c>
      <c r="E240" s="70">
        <v>2.1822222222222223</v>
      </c>
      <c r="F240" s="71" t="s">
        <v>225</v>
      </c>
      <c r="G240" s="70">
        <v>0.10222222222222223</v>
      </c>
      <c r="H240" s="72">
        <f t="shared" si="13"/>
        <v>2.284444444</v>
      </c>
      <c r="I240" s="73"/>
    </row>
    <row r="241">
      <c r="A241" s="74"/>
      <c r="B241" s="74"/>
      <c r="C241" s="103" t="s">
        <v>226</v>
      </c>
      <c r="D241" s="99" t="s">
        <v>204</v>
      </c>
      <c r="E241" s="70">
        <v>2.1822222222222223</v>
      </c>
      <c r="F241" s="71">
        <v>4.0E-5</v>
      </c>
      <c r="G241" s="70">
        <v>0.10222222222222223</v>
      </c>
      <c r="H241" s="72">
        <f t="shared" si="13"/>
        <v>2.284444444</v>
      </c>
      <c r="I241" s="73"/>
    </row>
    <row r="242">
      <c r="A242" s="74"/>
      <c r="B242" s="74"/>
      <c r="C242" s="103" t="s">
        <v>227</v>
      </c>
      <c r="D242" s="99" t="s">
        <v>204</v>
      </c>
      <c r="E242" s="70">
        <v>5.455555555555556</v>
      </c>
      <c r="F242" s="71">
        <v>1.0E-4</v>
      </c>
      <c r="G242" s="70">
        <v>0.2555555555555556</v>
      </c>
      <c r="H242" s="72">
        <f t="shared" si="13"/>
        <v>5.711111111</v>
      </c>
      <c r="I242" s="73"/>
    </row>
    <row r="243">
      <c r="A243" s="74"/>
      <c r="B243" s="74"/>
      <c r="C243" s="103" t="s">
        <v>228</v>
      </c>
      <c r="D243" s="99" t="s">
        <v>204</v>
      </c>
      <c r="E243" s="70">
        <v>5.455555555555556</v>
      </c>
      <c r="F243" s="71">
        <v>1.0E-4</v>
      </c>
      <c r="G243" s="70">
        <v>0.2555555555555556</v>
      </c>
      <c r="H243" s="72">
        <f t="shared" si="13"/>
        <v>5.711111111</v>
      </c>
      <c r="I243" s="73"/>
    </row>
    <row r="244">
      <c r="A244" s="74"/>
      <c r="B244" s="74"/>
      <c r="C244" s="103" t="s">
        <v>229</v>
      </c>
      <c r="D244" s="99" t="s">
        <v>204</v>
      </c>
      <c r="E244" s="70">
        <v>4.91</v>
      </c>
      <c r="F244" s="71">
        <v>9.0E-5</v>
      </c>
      <c r="G244" s="70">
        <v>0.23</v>
      </c>
      <c r="H244" s="72">
        <f t="shared" si="13"/>
        <v>5.14</v>
      </c>
      <c r="I244" s="73"/>
    </row>
    <row r="245">
      <c r="A245" s="74"/>
      <c r="B245" s="74"/>
      <c r="C245" s="103" t="s">
        <v>230</v>
      </c>
      <c r="D245" s="99" t="s">
        <v>204</v>
      </c>
      <c r="E245" s="70">
        <v>3.8188888888888886</v>
      </c>
      <c r="F245" s="71">
        <v>7.0E-5</v>
      </c>
      <c r="G245" s="70">
        <v>0.17888888888888888</v>
      </c>
      <c r="H245" s="72">
        <f t="shared" si="13"/>
        <v>3.997777778</v>
      </c>
      <c r="I245" s="73"/>
    </row>
    <row r="246">
      <c r="A246" s="74"/>
      <c r="B246" s="74"/>
      <c r="C246" s="103" t="s">
        <v>231</v>
      </c>
      <c r="D246" s="99" t="s">
        <v>204</v>
      </c>
      <c r="E246" s="70">
        <v>4.91</v>
      </c>
      <c r="F246" s="71">
        <v>9.0E-5</v>
      </c>
      <c r="G246" s="70">
        <v>0.23</v>
      </c>
      <c r="H246" s="72">
        <f t="shared" si="13"/>
        <v>5.14</v>
      </c>
      <c r="I246" s="73"/>
    </row>
    <row r="247">
      <c r="A247" s="74"/>
      <c r="B247" s="74"/>
      <c r="C247" s="103" t="s">
        <v>232</v>
      </c>
      <c r="D247" s="99" t="s">
        <v>204</v>
      </c>
      <c r="E247" s="70">
        <v>4.91</v>
      </c>
      <c r="F247" s="71">
        <v>9.0E-5</v>
      </c>
      <c r="G247" s="70">
        <v>0.23</v>
      </c>
      <c r="H247" s="72">
        <f t="shared" si="13"/>
        <v>5.14</v>
      </c>
      <c r="I247" s="73"/>
    </row>
    <row r="248">
      <c r="A248" s="74"/>
      <c r="B248" s="74"/>
      <c r="C248" s="103" t="s">
        <v>233</v>
      </c>
      <c r="D248" s="99" t="s">
        <v>204</v>
      </c>
      <c r="E248" s="70">
        <v>4.91</v>
      </c>
      <c r="F248" s="71">
        <v>9.0E-5</v>
      </c>
      <c r="G248" s="70">
        <v>0.23</v>
      </c>
      <c r="H248" s="72">
        <f t="shared" si="13"/>
        <v>5.14</v>
      </c>
      <c r="I248" s="73"/>
    </row>
    <row r="249">
      <c r="A249" s="75"/>
      <c r="B249" s="75"/>
      <c r="C249" s="103" t="s">
        <v>234</v>
      </c>
      <c r="D249" s="99" t="s">
        <v>204</v>
      </c>
      <c r="E249" s="70">
        <v>2.727777777777778</v>
      </c>
      <c r="F249" s="71">
        <v>5.0E-5</v>
      </c>
      <c r="G249" s="70">
        <v>0.1277777777777778</v>
      </c>
      <c r="H249" s="72">
        <f t="shared" si="13"/>
        <v>2.855555556</v>
      </c>
      <c r="I249" s="73"/>
    </row>
    <row r="250">
      <c r="A250" s="76" t="s">
        <v>235</v>
      </c>
      <c r="B250" s="65"/>
      <c r="C250" s="65"/>
      <c r="D250" s="77"/>
      <c r="E250" s="109">
        <f>sum(E201:E249)</f>
        <v>2214.235556</v>
      </c>
      <c r="F250" s="78">
        <f>SUM(F201:F249)</f>
        <v>0.14615</v>
      </c>
      <c r="G250" s="70">
        <f t="shared" ref="G250:H250" si="14">sum(G201:G249)</f>
        <v>359.12</v>
      </c>
      <c r="H250" s="72">
        <f t="shared" si="14"/>
        <v>2573.355556</v>
      </c>
      <c r="I250" s="73"/>
    </row>
    <row r="251">
      <c r="A251" s="104" t="s">
        <v>236</v>
      </c>
      <c r="B251" s="105"/>
      <c r="C251" s="105"/>
      <c r="D251" s="81"/>
      <c r="E251" s="105"/>
      <c r="F251" s="81"/>
      <c r="G251" s="81"/>
      <c r="H251" s="82"/>
      <c r="I251" s="73"/>
    </row>
    <row r="252">
      <c r="A252" s="106" t="s">
        <v>201</v>
      </c>
      <c r="B252" s="107">
        <v>0.0</v>
      </c>
      <c r="C252" s="103" t="s">
        <v>159</v>
      </c>
      <c r="D252" s="99" t="s">
        <v>158</v>
      </c>
      <c r="E252" s="103">
        <v>20.89</v>
      </c>
      <c r="F252" s="71">
        <v>0.00139</v>
      </c>
      <c r="G252" s="70">
        <v>3.42</v>
      </c>
      <c r="H252" s="72">
        <f t="shared" ref="H252:H276" si="15">E252+G252</f>
        <v>24.31</v>
      </c>
      <c r="I252" s="73"/>
    </row>
    <row r="253">
      <c r="A253" s="74"/>
      <c r="B253" s="74"/>
      <c r="C253" s="103" t="s">
        <v>164</v>
      </c>
      <c r="D253" s="101"/>
      <c r="E253" s="103">
        <v>107.11</v>
      </c>
      <c r="F253" s="71">
        <v>0.00687</v>
      </c>
      <c r="G253" s="70">
        <v>16.81</v>
      </c>
      <c r="H253" s="72">
        <f t="shared" si="15"/>
        <v>123.92</v>
      </c>
      <c r="I253" s="73"/>
    </row>
    <row r="254">
      <c r="A254" s="75"/>
      <c r="B254" s="75"/>
      <c r="C254" s="103" t="s">
        <v>165</v>
      </c>
      <c r="D254" s="101"/>
      <c r="E254" s="103">
        <v>113.57</v>
      </c>
      <c r="F254" s="71">
        <v>0.00728</v>
      </c>
      <c r="G254" s="70">
        <v>17.82</v>
      </c>
      <c r="H254" s="72">
        <f t="shared" si="15"/>
        <v>131.39</v>
      </c>
      <c r="I254" s="73"/>
    </row>
    <row r="255">
      <c r="A255" s="106" t="s">
        <v>166</v>
      </c>
      <c r="B255" s="107">
        <v>3.0</v>
      </c>
      <c r="C255" s="103" t="s">
        <v>167</v>
      </c>
      <c r="D255" s="101"/>
      <c r="E255" s="103">
        <v>43.24</v>
      </c>
      <c r="F255" s="71">
        <v>0.0029</v>
      </c>
      <c r="G255" s="70">
        <v>7.08</v>
      </c>
      <c r="H255" s="72">
        <f t="shared" si="15"/>
        <v>50.32</v>
      </c>
      <c r="I255" s="73"/>
    </row>
    <row r="256">
      <c r="A256" s="74"/>
      <c r="B256" s="74"/>
      <c r="C256" s="103" t="s">
        <v>168</v>
      </c>
      <c r="D256" s="101"/>
      <c r="E256" s="103">
        <v>108.7</v>
      </c>
      <c r="F256" s="71">
        <v>0.0073</v>
      </c>
      <c r="G256" s="70">
        <v>18.23</v>
      </c>
      <c r="H256" s="72">
        <f t="shared" si="15"/>
        <v>126.93</v>
      </c>
      <c r="I256" s="73"/>
    </row>
    <row r="257">
      <c r="A257" s="74"/>
      <c r="B257" s="74"/>
      <c r="C257" s="103" t="s">
        <v>169</v>
      </c>
      <c r="D257" s="101"/>
      <c r="E257" s="103">
        <v>69.69</v>
      </c>
      <c r="F257" s="71">
        <v>0.0048</v>
      </c>
      <c r="G257" s="70">
        <v>11.99</v>
      </c>
      <c r="H257" s="72">
        <f t="shared" si="15"/>
        <v>81.68</v>
      </c>
      <c r="I257" s="73"/>
    </row>
    <row r="258">
      <c r="A258" s="75"/>
      <c r="B258" s="75"/>
      <c r="C258" s="103" t="s">
        <v>170</v>
      </c>
      <c r="D258" s="101"/>
      <c r="E258" s="103">
        <v>98.71</v>
      </c>
      <c r="F258" s="71">
        <v>0.00632</v>
      </c>
      <c r="G258" s="70">
        <v>16.12</v>
      </c>
      <c r="H258" s="72">
        <f t="shared" si="15"/>
        <v>114.83</v>
      </c>
      <c r="I258" s="73"/>
    </row>
    <row r="259">
      <c r="A259" s="106" t="s">
        <v>172</v>
      </c>
      <c r="B259" s="107">
        <v>6.0</v>
      </c>
      <c r="C259" s="103" t="s">
        <v>173</v>
      </c>
      <c r="D259" s="101"/>
      <c r="E259" s="103">
        <v>43.24</v>
      </c>
      <c r="F259" s="71">
        <v>0.0029</v>
      </c>
      <c r="G259" s="70">
        <v>7.08</v>
      </c>
      <c r="H259" s="72">
        <f t="shared" si="15"/>
        <v>50.32</v>
      </c>
      <c r="I259" s="73"/>
    </row>
    <row r="260">
      <c r="A260" s="74"/>
      <c r="B260" s="74"/>
      <c r="C260" s="103" t="s">
        <v>174</v>
      </c>
      <c r="D260" s="101"/>
      <c r="E260" s="103">
        <v>108.7</v>
      </c>
      <c r="F260" s="71">
        <v>0.00745</v>
      </c>
      <c r="G260" s="70">
        <v>18.23</v>
      </c>
      <c r="H260" s="72">
        <f t="shared" si="15"/>
        <v>126.93</v>
      </c>
      <c r="I260" s="73"/>
    </row>
    <row r="261">
      <c r="A261" s="74"/>
      <c r="B261" s="74"/>
      <c r="C261" s="103" t="s">
        <v>175</v>
      </c>
      <c r="D261" s="101"/>
      <c r="E261" s="103">
        <v>69.69</v>
      </c>
      <c r="F261" s="71">
        <v>0.0049</v>
      </c>
      <c r="G261" s="70">
        <v>11.99</v>
      </c>
      <c r="H261" s="72">
        <f t="shared" si="15"/>
        <v>81.68</v>
      </c>
      <c r="I261" s="73"/>
    </row>
    <row r="262">
      <c r="A262" s="75"/>
      <c r="B262" s="75"/>
      <c r="C262" s="103" t="s">
        <v>176</v>
      </c>
      <c r="D262" s="101"/>
      <c r="E262" s="103">
        <v>98.71</v>
      </c>
      <c r="F262" s="71">
        <v>0.00659</v>
      </c>
      <c r="G262" s="70">
        <v>16.12</v>
      </c>
      <c r="H262" s="72">
        <f t="shared" si="15"/>
        <v>114.83</v>
      </c>
      <c r="I262" s="73"/>
    </row>
    <row r="263">
      <c r="A263" s="106" t="s">
        <v>178</v>
      </c>
      <c r="B263" s="107">
        <v>9.0</v>
      </c>
      <c r="C263" s="103" t="s">
        <v>179</v>
      </c>
      <c r="D263" s="101"/>
      <c r="E263" s="103">
        <v>43.24</v>
      </c>
      <c r="F263" s="71">
        <v>0.0029</v>
      </c>
      <c r="G263" s="70">
        <v>7.08</v>
      </c>
      <c r="H263" s="72">
        <f t="shared" si="15"/>
        <v>50.32</v>
      </c>
      <c r="I263" s="73"/>
    </row>
    <row r="264">
      <c r="A264" s="74"/>
      <c r="B264" s="74"/>
      <c r="C264" s="103" t="s">
        <v>180</v>
      </c>
      <c r="D264" s="101"/>
      <c r="E264" s="103">
        <v>108.7</v>
      </c>
      <c r="F264" s="71">
        <v>0.00745</v>
      </c>
      <c r="G264" s="70">
        <v>18.23</v>
      </c>
      <c r="H264" s="72">
        <f t="shared" si="15"/>
        <v>126.93</v>
      </c>
      <c r="I264" s="73"/>
    </row>
    <row r="265">
      <c r="A265" s="74"/>
      <c r="B265" s="74"/>
      <c r="C265" s="103" t="s">
        <v>181</v>
      </c>
      <c r="D265" s="101"/>
      <c r="E265" s="103">
        <v>69.69</v>
      </c>
      <c r="F265" s="71">
        <v>0.0049</v>
      </c>
      <c r="G265" s="70">
        <v>11.99</v>
      </c>
      <c r="H265" s="72">
        <f t="shared" si="15"/>
        <v>81.68</v>
      </c>
      <c r="I265" s="73"/>
    </row>
    <row r="266">
      <c r="A266" s="75"/>
      <c r="B266" s="75"/>
      <c r="C266" s="103" t="s">
        <v>182</v>
      </c>
      <c r="D266" s="101"/>
      <c r="E266" s="103">
        <v>98.71</v>
      </c>
      <c r="F266" s="71">
        <v>0.00659</v>
      </c>
      <c r="G266" s="70">
        <v>16.12</v>
      </c>
      <c r="H266" s="72">
        <f t="shared" si="15"/>
        <v>114.83</v>
      </c>
      <c r="I266" s="73"/>
    </row>
    <row r="267">
      <c r="A267" s="106" t="s">
        <v>184</v>
      </c>
      <c r="B267" s="107">
        <v>12.0</v>
      </c>
      <c r="C267" s="103" t="s">
        <v>185</v>
      </c>
      <c r="D267" s="101"/>
      <c r="E267" s="103">
        <v>43.24</v>
      </c>
      <c r="F267" s="71">
        <v>0.0029</v>
      </c>
      <c r="G267" s="70">
        <v>7.08</v>
      </c>
      <c r="H267" s="72">
        <f t="shared" si="15"/>
        <v>50.32</v>
      </c>
      <c r="I267" s="73"/>
    </row>
    <row r="268">
      <c r="A268" s="74"/>
      <c r="B268" s="74"/>
      <c r="C268" s="103" t="s">
        <v>186</v>
      </c>
      <c r="D268" s="101"/>
      <c r="E268" s="103">
        <v>108.7</v>
      </c>
      <c r="F268" s="71">
        <v>0.00745</v>
      </c>
      <c r="G268" s="70">
        <v>18.23</v>
      </c>
      <c r="H268" s="72">
        <f t="shared" si="15"/>
        <v>126.93</v>
      </c>
      <c r="I268" s="73"/>
    </row>
    <row r="269">
      <c r="A269" s="74"/>
      <c r="B269" s="74"/>
      <c r="C269" s="103" t="s">
        <v>202</v>
      </c>
      <c r="D269" s="101"/>
      <c r="E269" s="103">
        <v>69.69</v>
      </c>
      <c r="F269" s="71">
        <v>0.0049</v>
      </c>
      <c r="G269" s="70">
        <v>11.99</v>
      </c>
      <c r="H269" s="72">
        <f t="shared" si="15"/>
        <v>81.68</v>
      </c>
      <c r="I269" s="73"/>
    </row>
    <row r="270">
      <c r="A270" s="75"/>
      <c r="B270" s="75"/>
      <c r="C270" s="103" t="s">
        <v>188</v>
      </c>
      <c r="D270" s="101"/>
      <c r="E270" s="103">
        <v>98.71</v>
      </c>
      <c r="F270" s="71">
        <v>0.00659</v>
      </c>
      <c r="G270" s="70">
        <v>16.12</v>
      </c>
      <c r="H270" s="72">
        <f t="shared" si="15"/>
        <v>114.83</v>
      </c>
      <c r="I270" s="73"/>
    </row>
    <row r="271">
      <c r="A271" s="106" t="s">
        <v>190</v>
      </c>
      <c r="B271" s="107">
        <v>15.0</v>
      </c>
      <c r="C271" s="103" t="s">
        <v>192</v>
      </c>
      <c r="D271" s="101"/>
      <c r="E271" s="103">
        <v>147.72</v>
      </c>
      <c r="F271" s="71">
        <v>0.01006</v>
      </c>
      <c r="G271" s="70">
        <v>24.63</v>
      </c>
      <c r="H271" s="72">
        <f t="shared" si="15"/>
        <v>172.35</v>
      </c>
      <c r="I271" s="73"/>
    </row>
    <row r="272">
      <c r="A272" s="74"/>
      <c r="B272" s="74"/>
      <c r="C272" s="103" t="s">
        <v>193</v>
      </c>
      <c r="D272" s="101"/>
      <c r="E272" s="103">
        <v>67.12</v>
      </c>
      <c r="F272" s="71">
        <v>0.00472</v>
      </c>
      <c r="G272" s="70">
        <v>11.55</v>
      </c>
      <c r="H272" s="72">
        <f t="shared" si="15"/>
        <v>78.67</v>
      </c>
      <c r="I272" s="73"/>
    </row>
    <row r="273">
      <c r="A273" s="75"/>
      <c r="B273" s="75"/>
      <c r="C273" s="103" t="s">
        <v>194</v>
      </c>
      <c r="D273" s="101"/>
      <c r="E273" s="103">
        <v>96.78</v>
      </c>
      <c r="F273" s="71">
        <v>0.00646</v>
      </c>
      <c r="G273" s="70">
        <v>15.8</v>
      </c>
      <c r="H273" s="72">
        <f t="shared" si="15"/>
        <v>112.58</v>
      </c>
      <c r="I273" s="73"/>
    </row>
    <row r="274">
      <c r="A274" s="106" t="s">
        <v>195</v>
      </c>
      <c r="B274" s="107">
        <v>18.0</v>
      </c>
      <c r="C274" s="103" t="s">
        <v>196</v>
      </c>
      <c r="D274" s="101"/>
      <c r="E274" s="103">
        <v>133.59</v>
      </c>
      <c r="F274" s="71">
        <v>0.00933</v>
      </c>
      <c r="G274" s="70">
        <v>22.81</v>
      </c>
      <c r="H274" s="72">
        <f t="shared" si="15"/>
        <v>156.4</v>
      </c>
      <c r="I274" s="73"/>
    </row>
    <row r="275">
      <c r="A275" s="74"/>
      <c r="B275" s="74"/>
      <c r="C275" s="103" t="s">
        <v>197</v>
      </c>
      <c r="D275" s="101"/>
      <c r="E275" s="103">
        <v>67.12</v>
      </c>
      <c r="F275" s="71">
        <v>0.00436</v>
      </c>
      <c r="G275" s="70">
        <v>11.55</v>
      </c>
      <c r="H275" s="72">
        <f t="shared" si="15"/>
        <v>78.67</v>
      </c>
      <c r="I275" s="73"/>
    </row>
    <row r="276">
      <c r="A276" s="75"/>
      <c r="B276" s="75"/>
      <c r="C276" s="103" t="s">
        <v>198</v>
      </c>
      <c r="D276" s="101"/>
      <c r="E276" s="103">
        <v>86.8</v>
      </c>
      <c r="F276" s="71">
        <v>0.00651</v>
      </c>
      <c r="G276" s="70">
        <v>15.93</v>
      </c>
      <c r="H276" s="72">
        <f t="shared" si="15"/>
        <v>102.73</v>
      </c>
      <c r="I276" s="73"/>
    </row>
    <row r="277">
      <c r="A277" s="76" t="s">
        <v>237</v>
      </c>
      <c r="B277" s="65"/>
      <c r="C277" s="65"/>
      <c r="D277" s="77"/>
      <c r="E277" s="103">
        <f>sum(E252:E276)</f>
        <v>2122.06</v>
      </c>
      <c r="F277" s="78">
        <f>SUM(F252:F276)</f>
        <v>0.14382</v>
      </c>
      <c r="G277" s="70">
        <f t="shared" ref="G277:H277" si="16">sum(G252:G276)</f>
        <v>354</v>
      </c>
      <c r="H277" s="72">
        <f t="shared" si="16"/>
        <v>2476.06</v>
      </c>
      <c r="I277" s="73"/>
    </row>
    <row r="278">
      <c r="A278" s="104" t="s">
        <v>238</v>
      </c>
      <c r="B278" s="105"/>
      <c r="C278" s="105"/>
      <c r="D278" s="81"/>
      <c r="E278" s="105"/>
      <c r="F278" s="81"/>
      <c r="G278" s="81"/>
      <c r="H278" s="82"/>
      <c r="I278" s="49"/>
    </row>
    <row r="279">
      <c r="A279" s="106" t="s">
        <v>156</v>
      </c>
      <c r="B279" s="107">
        <v>0.0</v>
      </c>
      <c r="C279" s="103" t="s">
        <v>157</v>
      </c>
      <c r="D279" s="99" t="s">
        <v>158</v>
      </c>
      <c r="E279" s="103">
        <v>19.98</v>
      </c>
      <c r="F279" s="71">
        <v>0.00132</v>
      </c>
      <c r="G279" s="70">
        <v>3.27</v>
      </c>
      <c r="H279" s="72">
        <f t="shared" ref="H279:H329" si="17">E279+G279</f>
        <v>23.25</v>
      </c>
      <c r="I279" s="73"/>
    </row>
    <row r="280">
      <c r="A280" s="74"/>
      <c r="B280" s="74"/>
      <c r="C280" s="103" t="s">
        <v>159</v>
      </c>
      <c r="D280" s="99" t="s">
        <v>158</v>
      </c>
      <c r="E280" s="103">
        <v>22.48</v>
      </c>
      <c r="F280" s="71">
        <v>0.00149</v>
      </c>
      <c r="G280" s="70">
        <v>3.65</v>
      </c>
      <c r="H280" s="72">
        <f t="shared" si="17"/>
        <v>26.13</v>
      </c>
      <c r="I280" s="73"/>
    </row>
    <row r="281">
      <c r="A281" s="74"/>
      <c r="B281" s="74"/>
      <c r="C281" s="103" t="s">
        <v>160</v>
      </c>
      <c r="D281" s="99" t="s">
        <v>158</v>
      </c>
      <c r="E281" s="103">
        <v>35.43</v>
      </c>
      <c r="F281" s="71">
        <v>0.00235</v>
      </c>
      <c r="G281" s="70">
        <v>5.8</v>
      </c>
      <c r="H281" s="72">
        <f t="shared" si="17"/>
        <v>41.23</v>
      </c>
      <c r="I281" s="73"/>
    </row>
    <row r="282">
      <c r="A282" s="74"/>
      <c r="B282" s="74"/>
      <c r="C282" s="103" t="s">
        <v>161</v>
      </c>
      <c r="D282" s="99" t="s">
        <v>158</v>
      </c>
      <c r="E282" s="103">
        <v>32.1</v>
      </c>
      <c r="F282" s="71">
        <v>0.00213</v>
      </c>
      <c r="G282" s="70">
        <v>5.26</v>
      </c>
      <c r="H282" s="72">
        <f t="shared" si="17"/>
        <v>37.36</v>
      </c>
      <c r="I282" s="73"/>
    </row>
    <row r="283">
      <c r="A283" s="74"/>
      <c r="B283" s="74"/>
      <c r="C283" s="103" t="s">
        <v>162</v>
      </c>
      <c r="D283" s="99" t="s">
        <v>158</v>
      </c>
      <c r="E283" s="103">
        <v>31.95</v>
      </c>
      <c r="F283" s="71">
        <v>0.00212</v>
      </c>
      <c r="G283" s="70">
        <v>5.23</v>
      </c>
      <c r="H283" s="72">
        <f t="shared" si="17"/>
        <v>37.18</v>
      </c>
      <c r="I283" s="73"/>
    </row>
    <row r="284">
      <c r="A284" s="74"/>
      <c r="B284" s="74"/>
      <c r="C284" s="100" t="s">
        <v>163</v>
      </c>
      <c r="D284" s="99" t="s">
        <v>158</v>
      </c>
      <c r="E284" s="103">
        <v>32.02</v>
      </c>
      <c r="F284" s="71">
        <v>0.00212</v>
      </c>
      <c r="G284" s="70">
        <v>5.24</v>
      </c>
      <c r="H284" s="72">
        <f t="shared" si="17"/>
        <v>37.26</v>
      </c>
      <c r="I284" s="73"/>
    </row>
    <row r="285">
      <c r="A285" s="74"/>
      <c r="B285" s="74"/>
      <c r="C285" s="103" t="s">
        <v>164</v>
      </c>
      <c r="D285" s="101"/>
      <c r="E285" s="103">
        <v>100.16</v>
      </c>
      <c r="F285" s="71">
        <v>0.00642</v>
      </c>
      <c r="G285" s="70">
        <v>15.72</v>
      </c>
      <c r="H285" s="72">
        <f t="shared" si="17"/>
        <v>115.88</v>
      </c>
      <c r="I285" s="73"/>
    </row>
    <row r="286">
      <c r="A286" s="75"/>
      <c r="B286" s="75"/>
      <c r="C286" s="103" t="s">
        <v>165</v>
      </c>
      <c r="D286" s="101"/>
      <c r="E286" s="103">
        <v>113.37</v>
      </c>
      <c r="F286" s="71">
        <v>0.00727</v>
      </c>
      <c r="G286" s="70">
        <v>17.79</v>
      </c>
      <c r="H286" s="72">
        <f t="shared" si="17"/>
        <v>131.16</v>
      </c>
      <c r="I286" s="73"/>
    </row>
    <row r="287">
      <c r="A287" s="106" t="s">
        <v>166</v>
      </c>
      <c r="B287" s="107">
        <v>3.0</v>
      </c>
      <c r="C287" s="103" t="s">
        <v>167</v>
      </c>
      <c r="D287" s="101"/>
      <c r="E287" s="103">
        <v>53.31</v>
      </c>
      <c r="F287" s="71">
        <v>0.00357</v>
      </c>
      <c r="G287" s="70">
        <v>8.73</v>
      </c>
      <c r="H287" s="72">
        <f t="shared" si="17"/>
        <v>62.04</v>
      </c>
      <c r="I287" s="73"/>
    </row>
    <row r="288">
      <c r="A288" s="74"/>
      <c r="B288" s="74"/>
      <c r="C288" s="103" t="s">
        <v>168</v>
      </c>
      <c r="D288" s="101"/>
      <c r="E288" s="103">
        <v>129.02</v>
      </c>
      <c r="F288" s="71">
        <v>0.00838</v>
      </c>
      <c r="G288" s="70">
        <v>21.35</v>
      </c>
      <c r="H288" s="72">
        <f t="shared" si="17"/>
        <v>150.37</v>
      </c>
      <c r="I288" s="73"/>
    </row>
    <row r="289">
      <c r="A289" s="74"/>
      <c r="B289" s="74"/>
      <c r="C289" s="103" t="s">
        <v>169</v>
      </c>
      <c r="D289" s="101"/>
      <c r="E289" s="103">
        <v>93.63</v>
      </c>
      <c r="F289" s="71">
        <v>0.00659</v>
      </c>
      <c r="G289" s="70">
        <v>16.11</v>
      </c>
      <c r="H289" s="72">
        <f t="shared" si="17"/>
        <v>109.74</v>
      </c>
      <c r="I289" s="73"/>
    </row>
    <row r="290">
      <c r="A290" s="74"/>
      <c r="B290" s="74"/>
      <c r="C290" s="103" t="s">
        <v>170</v>
      </c>
      <c r="D290" s="101"/>
      <c r="E290" s="103">
        <v>103.46</v>
      </c>
      <c r="F290" s="71">
        <v>0.00686</v>
      </c>
      <c r="G290" s="70">
        <v>16.78</v>
      </c>
      <c r="H290" s="72">
        <f t="shared" si="17"/>
        <v>120.24</v>
      </c>
      <c r="I290" s="73"/>
    </row>
    <row r="291">
      <c r="A291" s="75"/>
      <c r="B291" s="75"/>
      <c r="C291" s="103" t="s">
        <v>171</v>
      </c>
      <c r="D291" s="101"/>
      <c r="E291" s="103">
        <v>80.14</v>
      </c>
      <c r="F291" s="71">
        <v>0.00506</v>
      </c>
      <c r="G291" s="70">
        <v>12.96</v>
      </c>
      <c r="H291" s="72">
        <f t="shared" si="17"/>
        <v>93.1</v>
      </c>
      <c r="I291" s="73"/>
    </row>
    <row r="292">
      <c r="A292" s="106" t="s">
        <v>172</v>
      </c>
      <c r="B292" s="107">
        <v>6.0</v>
      </c>
      <c r="C292" s="103" t="s">
        <v>173</v>
      </c>
      <c r="D292" s="101"/>
      <c r="E292" s="103">
        <v>53.31</v>
      </c>
      <c r="F292" s="71">
        <v>0.00357</v>
      </c>
      <c r="G292" s="70">
        <v>8.73</v>
      </c>
      <c r="H292" s="72">
        <f t="shared" si="17"/>
        <v>62.04</v>
      </c>
      <c r="I292" s="73"/>
    </row>
    <row r="293">
      <c r="A293" s="74"/>
      <c r="B293" s="74"/>
      <c r="C293" s="103" t="s">
        <v>174</v>
      </c>
      <c r="D293" s="101"/>
      <c r="E293" s="103">
        <v>129.02</v>
      </c>
      <c r="F293" s="71">
        <v>0.00873</v>
      </c>
      <c r="G293" s="70">
        <v>21.35</v>
      </c>
      <c r="H293" s="72">
        <f t="shared" si="17"/>
        <v>150.37</v>
      </c>
      <c r="I293" s="73"/>
    </row>
    <row r="294">
      <c r="A294" s="74"/>
      <c r="B294" s="74"/>
      <c r="C294" s="103" t="s">
        <v>175</v>
      </c>
      <c r="D294" s="101"/>
      <c r="E294" s="103">
        <v>93.63</v>
      </c>
      <c r="F294" s="71">
        <v>0.00659</v>
      </c>
      <c r="G294" s="70">
        <v>16.11</v>
      </c>
      <c r="H294" s="72">
        <f t="shared" si="17"/>
        <v>109.74</v>
      </c>
      <c r="I294" s="73"/>
    </row>
    <row r="295">
      <c r="A295" s="74"/>
      <c r="B295" s="74"/>
      <c r="C295" s="103" t="s">
        <v>176</v>
      </c>
      <c r="D295" s="101"/>
      <c r="E295" s="103">
        <v>103.46</v>
      </c>
      <c r="F295" s="71">
        <v>0.00686</v>
      </c>
      <c r="G295" s="70">
        <v>16.78</v>
      </c>
      <c r="H295" s="72">
        <f t="shared" si="17"/>
        <v>120.24</v>
      </c>
      <c r="I295" s="73"/>
    </row>
    <row r="296">
      <c r="A296" s="75"/>
      <c r="B296" s="75"/>
      <c r="C296" s="103" t="s">
        <v>177</v>
      </c>
      <c r="D296" s="101"/>
      <c r="E296" s="103">
        <v>80.14</v>
      </c>
      <c r="F296" s="71">
        <v>0.00528</v>
      </c>
      <c r="G296" s="70">
        <v>12.96</v>
      </c>
      <c r="H296" s="72">
        <f t="shared" si="17"/>
        <v>93.1</v>
      </c>
      <c r="I296" s="73"/>
    </row>
    <row r="297">
      <c r="A297" s="106" t="s">
        <v>178</v>
      </c>
      <c r="B297" s="107">
        <v>9.0</v>
      </c>
      <c r="C297" s="103" t="s">
        <v>179</v>
      </c>
      <c r="D297" s="101"/>
      <c r="E297" s="103">
        <v>53.31</v>
      </c>
      <c r="F297" s="71">
        <v>0.00357</v>
      </c>
      <c r="G297" s="70">
        <v>8.73</v>
      </c>
      <c r="H297" s="72">
        <f t="shared" si="17"/>
        <v>62.04</v>
      </c>
      <c r="I297" s="73"/>
    </row>
    <row r="298">
      <c r="A298" s="74"/>
      <c r="B298" s="74"/>
      <c r="C298" s="103" t="s">
        <v>180</v>
      </c>
      <c r="D298" s="101"/>
      <c r="E298" s="103">
        <v>129.02</v>
      </c>
      <c r="F298" s="71">
        <v>0.00873</v>
      </c>
      <c r="G298" s="70">
        <v>21.35</v>
      </c>
      <c r="H298" s="72">
        <f t="shared" si="17"/>
        <v>150.37</v>
      </c>
      <c r="I298" s="73"/>
    </row>
    <row r="299">
      <c r="A299" s="74"/>
      <c r="B299" s="74"/>
      <c r="C299" s="103" t="s">
        <v>181</v>
      </c>
      <c r="D299" s="101"/>
      <c r="E299" s="103">
        <v>93.63</v>
      </c>
      <c r="F299" s="71">
        <v>0.00659</v>
      </c>
      <c r="G299" s="70">
        <v>16.11</v>
      </c>
      <c r="H299" s="72">
        <f t="shared" si="17"/>
        <v>109.74</v>
      </c>
      <c r="I299" s="73"/>
    </row>
    <row r="300">
      <c r="A300" s="74"/>
      <c r="B300" s="74"/>
      <c r="C300" s="103" t="s">
        <v>182</v>
      </c>
      <c r="D300" s="101"/>
      <c r="E300" s="103">
        <v>103.46</v>
      </c>
      <c r="F300" s="71">
        <v>0.00686</v>
      </c>
      <c r="G300" s="70">
        <v>16.78</v>
      </c>
      <c r="H300" s="72">
        <f t="shared" si="17"/>
        <v>120.24</v>
      </c>
      <c r="I300" s="73"/>
    </row>
    <row r="301">
      <c r="A301" s="75"/>
      <c r="B301" s="75"/>
      <c r="C301" s="103" t="s">
        <v>183</v>
      </c>
      <c r="D301" s="101"/>
      <c r="E301" s="103">
        <v>80.14</v>
      </c>
      <c r="F301" s="71">
        <v>0.00528</v>
      </c>
      <c r="G301" s="70">
        <v>12.96</v>
      </c>
      <c r="H301" s="72">
        <f t="shared" si="17"/>
        <v>93.1</v>
      </c>
      <c r="I301" s="73"/>
    </row>
    <row r="302">
      <c r="A302" s="106" t="s">
        <v>184</v>
      </c>
      <c r="B302" s="107">
        <v>12.0</v>
      </c>
      <c r="C302" s="103" t="s">
        <v>185</v>
      </c>
      <c r="D302" s="101"/>
      <c r="E302" s="103">
        <v>53.31</v>
      </c>
      <c r="F302" s="71">
        <v>0.00357</v>
      </c>
      <c r="G302" s="70">
        <v>8.73</v>
      </c>
      <c r="H302" s="72">
        <f t="shared" si="17"/>
        <v>62.04</v>
      </c>
      <c r="I302" s="73"/>
    </row>
    <row r="303">
      <c r="A303" s="74"/>
      <c r="B303" s="74"/>
      <c r="C303" s="103" t="s">
        <v>186</v>
      </c>
      <c r="D303" s="101"/>
      <c r="E303" s="103">
        <v>129.02</v>
      </c>
      <c r="F303" s="71">
        <v>0.00873</v>
      </c>
      <c r="G303" s="70">
        <v>21.35</v>
      </c>
      <c r="H303" s="72">
        <f t="shared" si="17"/>
        <v>150.37</v>
      </c>
      <c r="I303" s="73"/>
    </row>
    <row r="304">
      <c r="A304" s="74"/>
      <c r="B304" s="74"/>
      <c r="C304" s="103" t="s">
        <v>202</v>
      </c>
      <c r="D304" s="101"/>
      <c r="E304" s="103">
        <v>93.63</v>
      </c>
      <c r="F304" s="71">
        <v>0.00659</v>
      </c>
      <c r="G304" s="70">
        <v>16.11</v>
      </c>
      <c r="H304" s="72">
        <f t="shared" si="17"/>
        <v>109.74</v>
      </c>
      <c r="I304" s="73"/>
    </row>
    <row r="305">
      <c r="A305" s="74"/>
      <c r="B305" s="74"/>
      <c r="C305" s="103" t="s">
        <v>188</v>
      </c>
      <c r="D305" s="101"/>
      <c r="E305" s="103">
        <v>103.46</v>
      </c>
      <c r="F305" s="71">
        <v>0.00686</v>
      </c>
      <c r="G305" s="70">
        <v>16.78</v>
      </c>
      <c r="H305" s="72">
        <f t="shared" si="17"/>
        <v>120.24</v>
      </c>
      <c r="I305" s="73"/>
    </row>
    <row r="306">
      <c r="A306" s="75"/>
      <c r="B306" s="75"/>
      <c r="C306" s="103" t="s">
        <v>189</v>
      </c>
      <c r="D306" s="101"/>
      <c r="E306" s="103">
        <v>80.14</v>
      </c>
      <c r="F306" s="71">
        <v>0.00528</v>
      </c>
      <c r="G306" s="70">
        <v>12.96</v>
      </c>
      <c r="H306" s="72">
        <f t="shared" si="17"/>
        <v>93.1</v>
      </c>
      <c r="I306" s="73"/>
    </row>
    <row r="307">
      <c r="A307" s="106" t="s">
        <v>190</v>
      </c>
      <c r="B307" s="107">
        <v>15.0</v>
      </c>
      <c r="C307" s="103" t="s">
        <v>191</v>
      </c>
      <c r="D307" s="101"/>
      <c r="E307" s="103">
        <v>53.39</v>
      </c>
      <c r="F307" s="71">
        <v>0.00357</v>
      </c>
      <c r="G307" s="70">
        <v>8.75</v>
      </c>
      <c r="H307" s="72">
        <f t="shared" si="17"/>
        <v>62.14</v>
      </c>
      <c r="I307" s="73"/>
    </row>
    <row r="308">
      <c r="A308" s="74"/>
      <c r="B308" s="74"/>
      <c r="C308" s="103" t="s">
        <v>192</v>
      </c>
      <c r="D308" s="101"/>
      <c r="E308" s="103">
        <v>129.29</v>
      </c>
      <c r="F308" s="71">
        <v>0.00874</v>
      </c>
      <c r="G308" s="70">
        <v>21.39</v>
      </c>
      <c r="H308" s="72">
        <f t="shared" si="17"/>
        <v>150.68</v>
      </c>
      <c r="I308" s="73"/>
    </row>
    <row r="309">
      <c r="A309" s="74"/>
      <c r="B309" s="74"/>
      <c r="C309" s="103" t="s">
        <v>193</v>
      </c>
      <c r="D309" s="101"/>
      <c r="E309" s="103">
        <v>192.37</v>
      </c>
      <c r="F309" s="71">
        <v>0.01314</v>
      </c>
      <c r="G309" s="70">
        <v>32.47</v>
      </c>
      <c r="H309" s="72">
        <f t="shared" si="17"/>
        <v>224.84</v>
      </c>
      <c r="I309" s="73"/>
    </row>
    <row r="310">
      <c r="A310" s="75"/>
      <c r="B310" s="75"/>
      <c r="C310" s="103" t="s">
        <v>194</v>
      </c>
      <c r="D310" s="101"/>
      <c r="E310" s="103">
        <v>78.02</v>
      </c>
      <c r="F310" s="71">
        <v>0.00512</v>
      </c>
      <c r="G310" s="70">
        <v>12.65</v>
      </c>
      <c r="H310" s="72">
        <f t="shared" si="17"/>
        <v>90.67</v>
      </c>
      <c r="I310" s="73"/>
    </row>
    <row r="311">
      <c r="A311" s="106" t="s">
        <v>195</v>
      </c>
      <c r="B311" s="107">
        <v>18.0</v>
      </c>
      <c r="C311" s="103" t="s">
        <v>196</v>
      </c>
      <c r="D311" s="101"/>
      <c r="E311" s="103">
        <v>119.28</v>
      </c>
      <c r="F311" s="71">
        <v>0.00814</v>
      </c>
      <c r="G311" s="70">
        <v>19.91</v>
      </c>
      <c r="H311" s="72">
        <f t="shared" si="17"/>
        <v>139.19</v>
      </c>
      <c r="I311" s="73"/>
    </row>
    <row r="312">
      <c r="A312" s="74"/>
      <c r="B312" s="74"/>
      <c r="C312" s="103" t="s">
        <v>197</v>
      </c>
      <c r="D312" s="101"/>
      <c r="E312" s="103">
        <v>171.33</v>
      </c>
      <c r="F312" s="71">
        <v>0.01234</v>
      </c>
      <c r="G312" s="70">
        <v>30.66</v>
      </c>
      <c r="H312" s="72">
        <f t="shared" si="17"/>
        <v>201.99</v>
      </c>
      <c r="I312" s="73"/>
    </row>
    <row r="313">
      <c r="A313" s="75"/>
      <c r="B313" s="75"/>
      <c r="C313" s="103" t="s">
        <v>198</v>
      </c>
      <c r="D313" s="101"/>
      <c r="E313" s="103">
        <v>103.29</v>
      </c>
      <c r="F313" s="71">
        <v>0.00844</v>
      </c>
      <c r="G313" s="70">
        <v>20.65</v>
      </c>
      <c r="H313" s="72">
        <f t="shared" si="17"/>
        <v>123.94</v>
      </c>
      <c r="I313" s="73"/>
    </row>
    <row r="314">
      <c r="A314" s="106" t="s">
        <v>94</v>
      </c>
      <c r="B314" s="106">
        <v>-3.3</v>
      </c>
      <c r="C314" s="103" t="s">
        <v>203</v>
      </c>
      <c r="D314" s="99" t="s">
        <v>204</v>
      </c>
      <c r="E314" s="70">
        <v>4.364444444444445</v>
      </c>
      <c r="F314" s="71">
        <v>8.0E-5</v>
      </c>
      <c r="G314" s="70">
        <v>0.20444444444444446</v>
      </c>
      <c r="H314" s="72">
        <f t="shared" si="17"/>
        <v>4.568888889</v>
      </c>
      <c r="I314" s="73"/>
    </row>
    <row r="315">
      <c r="A315" s="74"/>
      <c r="B315" s="74"/>
      <c r="C315" s="103" t="s">
        <v>205</v>
      </c>
      <c r="D315" s="99" t="s">
        <v>204</v>
      </c>
      <c r="E315" s="70">
        <v>4.364444444444445</v>
      </c>
      <c r="F315" s="71">
        <v>8.0E-5</v>
      </c>
      <c r="G315" s="70">
        <v>0.20444444444444446</v>
      </c>
      <c r="H315" s="72">
        <f t="shared" si="17"/>
        <v>4.568888889</v>
      </c>
      <c r="I315" s="73"/>
    </row>
    <row r="316">
      <c r="A316" s="74"/>
      <c r="B316" s="74"/>
      <c r="C316" s="103" t="s">
        <v>206</v>
      </c>
      <c r="D316" s="99" t="s">
        <v>204</v>
      </c>
      <c r="E316" s="70">
        <v>4.364444444444445</v>
      </c>
      <c r="F316" s="71">
        <v>8.0E-5</v>
      </c>
      <c r="G316" s="70">
        <v>0.20444444444444446</v>
      </c>
      <c r="H316" s="72">
        <f t="shared" si="17"/>
        <v>4.568888889</v>
      </c>
      <c r="I316" s="73"/>
    </row>
    <row r="317">
      <c r="A317" s="74"/>
      <c r="B317" s="74"/>
      <c r="C317" s="103" t="s">
        <v>207</v>
      </c>
      <c r="D317" s="99" t="s">
        <v>204</v>
      </c>
      <c r="E317" s="70">
        <v>5.455555555555556</v>
      </c>
      <c r="F317" s="71">
        <v>1.0E-4</v>
      </c>
      <c r="G317" s="70">
        <v>0.2555555555555556</v>
      </c>
      <c r="H317" s="72">
        <f t="shared" si="17"/>
        <v>5.711111111</v>
      </c>
      <c r="I317" s="73"/>
    </row>
    <row r="318">
      <c r="A318" s="74"/>
      <c r="B318" s="74"/>
      <c r="C318" s="103" t="s">
        <v>208</v>
      </c>
      <c r="D318" s="99" t="s">
        <v>204</v>
      </c>
      <c r="E318" s="70">
        <v>4.91</v>
      </c>
      <c r="F318" s="71">
        <v>9.0E-5</v>
      </c>
      <c r="G318" s="70">
        <v>0.23</v>
      </c>
      <c r="H318" s="72">
        <f t="shared" si="17"/>
        <v>5.14</v>
      </c>
      <c r="I318" s="73"/>
    </row>
    <row r="319">
      <c r="A319" s="74"/>
      <c r="B319" s="74"/>
      <c r="C319" s="103" t="s">
        <v>209</v>
      </c>
      <c r="D319" s="99" t="s">
        <v>204</v>
      </c>
      <c r="E319" s="70">
        <v>3.8188888888888886</v>
      </c>
      <c r="F319" s="71">
        <v>7.0E-5</v>
      </c>
      <c r="G319" s="70">
        <v>0.17888888888888888</v>
      </c>
      <c r="H319" s="72">
        <f t="shared" si="17"/>
        <v>3.997777778</v>
      </c>
      <c r="I319" s="73"/>
    </row>
    <row r="320">
      <c r="A320" s="74"/>
      <c r="B320" s="74"/>
      <c r="C320" s="103" t="s">
        <v>211</v>
      </c>
      <c r="D320" s="99" t="s">
        <v>204</v>
      </c>
      <c r="E320" s="70">
        <v>4.364444444444445</v>
      </c>
      <c r="F320" s="71">
        <v>8.0E-5</v>
      </c>
      <c r="G320" s="70">
        <v>0.20444444444444446</v>
      </c>
      <c r="H320" s="72">
        <f t="shared" si="17"/>
        <v>4.568888889</v>
      </c>
      <c r="I320" s="73"/>
    </row>
    <row r="321">
      <c r="A321" s="74"/>
      <c r="B321" s="74"/>
      <c r="C321" s="103" t="s">
        <v>212</v>
      </c>
      <c r="D321" s="99" t="s">
        <v>204</v>
      </c>
      <c r="E321" s="70">
        <v>4.364444444444445</v>
      </c>
      <c r="F321" s="71">
        <v>8.0E-5</v>
      </c>
      <c r="G321" s="70">
        <v>0.20444444444444446</v>
      </c>
      <c r="H321" s="72">
        <f t="shared" si="17"/>
        <v>4.568888889</v>
      </c>
      <c r="I321" s="73"/>
    </row>
    <row r="322">
      <c r="A322" s="74"/>
      <c r="B322" s="74"/>
      <c r="C322" s="103" t="s">
        <v>213</v>
      </c>
      <c r="D322" s="99" t="s">
        <v>204</v>
      </c>
      <c r="E322" s="70">
        <v>4.364444444444445</v>
      </c>
      <c r="F322" s="71">
        <v>8.0E-5</v>
      </c>
      <c r="G322" s="70">
        <v>0.20444444444444446</v>
      </c>
      <c r="H322" s="72">
        <f t="shared" si="17"/>
        <v>4.568888889</v>
      </c>
      <c r="I322" s="73"/>
    </row>
    <row r="323">
      <c r="A323" s="74"/>
      <c r="B323" s="74"/>
      <c r="C323" s="103" t="s">
        <v>222</v>
      </c>
      <c r="D323" s="99" t="s">
        <v>204</v>
      </c>
      <c r="E323" s="70">
        <v>4.91</v>
      </c>
      <c r="F323" s="71">
        <v>9.0E-5</v>
      </c>
      <c r="G323" s="70">
        <v>0.23</v>
      </c>
      <c r="H323" s="72">
        <f t="shared" si="17"/>
        <v>5.14</v>
      </c>
      <c r="I323" s="73"/>
    </row>
    <row r="324">
      <c r="A324" s="74"/>
      <c r="B324" s="74"/>
      <c r="C324" s="103" t="s">
        <v>216</v>
      </c>
      <c r="D324" s="99" t="s">
        <v>204</v>
      </c>
      <c r="E324" s="70">
        <v>4.91</v>
      </c>
      <c r="F324" s="71">
        <v>9.0E-5</v>
      </c>
      <c r="G324" s="70">
        <v>0.23</v>
      </c>
      <c r="H324" s="72">
        <f t="shared" si="17"/>
        <v>5.14</v>
      </c>
      <c r="I324" s="73"/>
    </row>
    <row r="325">
      <c r="A325" s="74"/>
      <c r="B325" s="74"/>
      <c r="C325" s="103" t="s">
        <v>217</v>
      </c>
      <c r="D325" s="99" t="s">
        <v>204</v>
      </c>
      <c r="E325" s="70">
        <v>1.6366666666666667</v>
      </c>
      <c r="F325" s="71">
        <v>3.0E-5</v>
      </c>
      <c r="G325" s="70">
        <v>0.07666666666666667</v>
      </c>
      <c r="H325" s="72">
        <f t="shared" si="17"/>
        <v>1.713333333</v>
      </c>
      <c r="I325" s="73"/>
    </row>
    <row r="326">
      <c r="A326" s="74"/>
      <c r="B326" s="74"/>
      <c r="C326" s="103" t="s">
        <v>224</v>
      </c>
      <c r="D326" s="99" t="s">
        <v>204</v>
      </c>
      <c r="E326" s="70">
        <v>2.1822222222222223</v>
      </c>
      <c r="F326" s="71">
        <v>4.0E-5</v>
      </c>
      <c r="G326" s="70">
        <v>0.10222222222222223</v>
      </c>
      <c r="H326" s="72">
        <f t="shared" si="17"/>
        <v>2.284444444</v>
      </c>
      <c r="I326" s="73"/>
    </row>
    <row r="327">
      <c r="A327" s="74"/>
      <c r="B327" s="74"/>
      <c r="C327" s="103" t="s">
        <v>226</v>
      </c>
      <c r="D327" s="99" t="s">
        <v>204</v>
      </c>
      <c r="E327" s="70">
        <v>2.1822222222222223</v>
      </c>
      <c r="F327" s="71">
        <v>4.0E-5</v>
      </c>
      <c r="G327" s="70">
        <v>0.10222222222222223</v>
      </c>
      <c r="H327" s="72">
        <f t="shared" si="17"/>
        <v>2.284444444</v>
      </c>
      <c r="I327" s="73"/>
    </row>
    <row r="328">
      <c r="A328" s="74"/>
      <c r="B328" s="74"/>
      <c r="C328" s="103" t="s">
        <v>227</v>
      </c>
      <c r="D328" s="99" t="s">
        <v>204</v>
      </c>
      <c r="E328" s="70">
        <v>5.455555555555556</v>
      </c>
      <c r="F328" s="71">
        <v>1.0E-4</v>
      </c>
      <c r="G328" s="70">
        <v>0.2555555555555556</v>
      </c>
      <c r="H328" s="72">
        <f t="shared" si="17"/>
        <v>5.711111111</v>
      </c>
      <c r="I328" s="73"/>
    </row>
    <row r="329">
      <c r="A329" s="75"/>
      <c r="B329" s="75"/>
      <c r="C329" s="103" t="s">
        <v>228</v>
      </c>
      <c r="D329" s="99" t="s">
        <v>204</v>
      </c>
      <c r="E329" s="70">
        <v>5.455555555555556</v>
      </c>
      <c r="F329" s="71">
        <v>1.0E-4</v>
      </c>
      <c r="G329" s="70">
        <v>0.2555555555555556</v>
      </c>
      <c r="H329" s="72">
        <f t="shared" si="17"/>
        <v>5.711111111</v>
      </c>
      <c r="I329" s="73"/>
    </row>
    <row r="330">
      <c r="A330" s="110" t="s">
        <v>239</v>
      </c>
      <c r="B330" s="111"/>
      <c r="C330" s="111"/>
      <c r="D330" s="112"/>
      <c r="E330" s="113">
        <f>sum(E279:E329)</f>
        <v>3139.803333</v>
      </c>
      <c r="F330" s="114">
        <f>SUM(F279:F329)</f>
        <v>0.20949</v>
      </c>
      <c r="G330" s="115">
        <f t="shared" ref="G330:H330" si="18">sum(G279:G329)</f>
        <v>515.3033333</v>
      </c>
      <c r="H330" s="116">
        <f t="shared" si="18"/>
        <v>3655.106667</v>
      </c>
      <c r="I330" s="73"/>
    </row>
    <row r="331">
      <c r="A331" s="117" t="s">
        <v>240</v>
      </c>
      <c r="B331" s="90"/>
      <c r="C331" s="90"/>
      <c r="D331" s="91"/>
      <c r="E331" s="92">
        <f>sum(E101:E128) + sum(E132:E169) + sum(E174:E198) + sum(E202:E249) + sum(E253:E276) + sum(E285:E329)</f>
        <v>14419.01111</v>
      </c>
      <c r="F331" s="118"/>
      <c r="G331" s="92">
        <f>sum(G101:G128) + sum(G132:G169) + sum(G174:G198) + sum(G202:G249) + sum(G253:G276) + sum(G285:G329)</f>
        <v>2373.935556</v>
      </c>
      <c r="H331" s="92">
        <f>H129 + H170 + H199 + H250 + H277 + H330</f>
        <v>17326.33667</v>
      </c>
      <c r="I331" s="73"/>
    </row>
    <row r="332">
      <c r="A332" s="117" t="s">
        <v>241</v>
      </c>
      <c r="B332" s="90"/>
      <c r="C332" s="90"/>
      <c r="D332" s="91"/>
      <c r="E332" s="92">
        <f>E93 + sum(E95:E100) + sum(E131) + sum(E172:E173) + sum(E201) + sum(E252) + sum(E279:E284)</f>
        <v>1531.95</v>
      </c>
      <c r="F332" s="118"/>
      <c r="G332" s="92">
        <f>G93 + sum(G95:G100) + sum(G131) + sum(G172:G173) + sum(G201) + sum(G252) + sum(G279:G284)</f>
        <v>1970.66</v>
      </c>
      <c r="H332" s="92">
        <f>H93</f>
        <v>2969.22</v>
      </c>
      <c r="I332" s="73"/>
    </row>
    <row r="333">
      <c r="A333" s="119"/>
      <c r="B333" s="119"/>
      <c r="C333" s="119"/>
      <c r="D333" s="119"/>
      <c r="E333" s="120"/>
      <c r="F333" s="121"/>
      <c r="G333" s="120"/>
      <c r="H333" s="122"/>
      <c r="I333" s="73"/>
    </row>
    <row r="334">
      <c r="F334" s="121"/>
      <c r="G334" s="73"/>
      <c r="H334" s="123"/>
      <c r="I334" s="73"/>
    </row>
    <row r="335">
      <c r="A335" s="124" t="s">
        <v>242</v>
      </c>
      <c r="B335" s="90"/>
      <c r="C335" s="90"/>
      <c r="D335" s="91"/>
      <c r="E335" s="125">
        <f t="shared" ref="E335:E336" si="19">H331</f>
        <v>17326.33667</v>
      </c>
      <c r="F335" s="126"/>
      <c r="G335" s="127" t="s">
        <v>243</v>
      </c>
      <c r="H335" s="91"/>
      <c r="I335" s="73"/>
    </row>
    <row r="336">
      <c r="A336" s="124" t="s">
        <v>244</v>
      </c>
      <c r="B336" s="90"/>
      <c r="C336" s="90"/>
      <c r="D336" s="91"/>
      <c r="E336" s="125">
        <f t="shared" si="19"/>
        <v>2969.22</v>
      </c>
      <c r="F336" s="126"/>
      <c r="G336" s="128">
        <f>(E336*0.31 + E335*0.6) * 12 * 1.9558 * 1.2</f>
        <v>318705.7205</v>
      </c>
      <c r="H336" s="91"/>
      <c r="I336" s="73"/>
    </row>
    <row r="337">
      <c r="A337" s="124" t="s">
        <v>245</v>
      </c>
      <c r="B337" s="90"/>
      <c r="C337" s="90"/>
      <c r="D337" s="91"/>
      <c r="E337" s="129">
        <f>COUNTIF(C12:C329,"&lt;&gt;") - E338 - E339 - E340</f>
        <v>156</v>
      </c>
      <c r="F337" s="49"/>
      <c r="H337" s="130"/>
      <c r="I337" s="73"/>
    </row>
    <row r="338">
      <c r="A338" s="124" t="s">
        <v>246</v>
      </c>
      <c r="B338" s="90"/>
      <c r="C338" s="90"/>
      <c r="D338" s="91"/>
      <c r="E338" s="129">
        <f>COUNTIF(D12:D329, "ГАРАЖ")</f>
        <v>17</v>
      </c>
      <c r="F338" s="49"/>
      <c r="H338" s="130"/>
      <c r="I338" s="94"/>
    </row>
    <row r="339">
      <c r="A339" s="124" t="s">
        <v>247</v>
      </c>
      <c r="B339" s="90"/>
      <c r="C339" s="90"/>
      <c r="D339" s="91"/>
      <c r="E339" s="129">
        <f>COUNTIF(D13:D330, "МАЗЕ*")</f>
        <v>52</v>
      </c>
      <c r="F339" s="49"/>
      <c r="H339" s="131"/>
      <c r="I339" s="49"/>
    </row>
    <row r="340">
      <c r="A340" s="124" t="s">
        <v>248</v>
      </c>
      <c r="B340" s="90"/>
      <c r="C340" s="90"/>
      <c r="D340" s="91"/>
      <c r="E340" s="129">
        <f>COUNTIF(D12:D329, "ПАРКОМЯСТО")</f>
        <v>76</v>
      </c>
      <c r="F340" s="49"/>
      <c r="H340" s="131"/>
    </row>
    <row r="341">
      <c r="H341" s="132"/>
      <c r="I341" s="126"/>
    </row>
    <row r="342">
      <c r="A342" s="133"/>
      <c r="B342" s="134"/>
      <c r="C342" s="135"/>
      <c r="D342" s="73"/>
      <c r="E342" s="136"/>
      <c r="H342" s="131"/>
      <c r="I342" s="49"/>
    </row>
    <row r="343">
      <c r="A343" s="133"/>
      <c r="B343" s="134"/>
      <c r="C343" s="94"/>
      <c r="D343" s="134"/>
      <c r="E343" s="94"/>
      <c r="H343" s="131"/>
      <c r="I343" s="49"/>
    </row>
    <row r="344">
      <c r="G344" s="49"/>
      <c r="H344" s="131"/>
      <c r="I344" s="49"/>
    </row>
    <row r="345">
      <c r="G345" s="49"/>
      <c r="H345" s="131"/>
      <c r="I345" s="49"/>
    </row>
  </sheetData>
  <mergeCells count="125">
    <mergeCell ref="A146:A149"/>
    <mergeCell ref="A150:A153"/>
    <mergeCell ref="B150:B153"/>
    <mergeCell ref="A154:A156"/>
    <mergeCell ref="B154:B156"/>
    <mergeCell ref="B157:B169"/>
    <mergeCell ref="A170:D170"/>
    <mergeCell ref="A157:A169"/>
    <mergeCell ref="A172:A175"/>
    <mergeCell ref="B172:B175"/>
    <mergeCell ref="A176:A179"/>
    <mergeCell ref="B176:B179"/>
    <mergeCell ref="A180:A183"/>
    <mergeCell ref="B180:B183"/>
    <mergeCell ref="A1:H1"/>
    <mergeCell ref="A2:H2"/>
    <mergeCell ref="A3:H3"/>
    <mergeCell ref="A4:H4"/>
    <mergeCell ref="A5:H5"/>
    <mergeCell ref="A6:H6"/>
    <mergeCell ref="A7:H7"/>
    <mergeCell ref="A8:H8"/>
    <mergeCell ref="A11:H11"/>
    <mergeCell ref="A12:A38"/>
    <mergeCell ref="B12:B38"/>
    <mergeCell ref="A39:D39"/>
    <mergeCell ref="B41:B60"/>
    <mergeCell ref="A61:D61"/>
    <mergeCell ref="A41:A60"/>
    <mergeCell ref="A63:A91"/>
    <mergeCell ref="B63:B91"/>
    <mergeCell ref="A92:D92"/>
    <mergeCell ref="A93:D93"/>
    <mergeCell ref="A95:A102"/>
    <mergeCell ref="B95:B102"/>
    <mergeCell ref="B122:B125"/>
    <mergeCell ref="B126:B128"/>
    <mergeCell ref="A129:D129"/>
    <mergeCell ref="B131:B133"/>
    <mergeCell ref="B134:B137"/>
    <mergeCell ref="B138:B141"/>
    <mergeCell ref="B142:B145"/>
    <mergeCell ref="B146:B149"/>
    <mergeCell ref="A103:A107"/>
    <mergeCell ref="B103:B107"/>
    <mergeCell ref="A108:A112"/>
    <mergeCell ref="B108:B112"/>
    <mergeCell ref="A113:A117"/>
    <mergeCell ref="B113:B117"/>
    <mergeCell ref="B118:B121"/>
    <mergeCell ref="A118:A121"/>
    <mergeCell ref="A122:A125"/>
    <mergeCell ref="A126:A128"/>
    <mergeCell ref="A131:A133"/>
    <mergeCell ref="A134:A137"/>
    <mergeCell ref="A138:A141"/>
    <mergeCell ref="A142:A145"/>
    <mergeCell ref="B196:B198"/>
    <mergeCell ref="A199:D199"/>
    <mergeCell ref="A279:A286"/>
    <mergeCell ref="B279:B286"/>
    <mergeCell ref="A287:A291"/>
    <mergeCell ref="B287:B291"/>
    <mergeCell ref="A292:A296"/>
    <mergeCell ref="B292:B296"/>
    <mergeCell ref="B297:B301"/>
    <mergeCell ref="G335:H335"/>
    <mergeCell ref="G336:H336"/>
    <mergeCell ref="A297:A301"/>
    <mergeCell ref="A302:A306"/>
    <mergeCell ref="A307:A310"/>
    <mergeCell ref="A311:A313"/>
    <mergeCell ref="B311:B313"/>
    <mergeCell ref="A314:A329"/>
    <mergeCell ref="B314:B329"/>
    <mergeCell ref="A184:A187"/>
    <mergeCell ref="B184:B187"/>
    <mergeCell ref="A188:A191"/>
    <mergeCell ref="B188:B191"/>
    <mergeCell ref="A192:A195"/>
    <mergeCell ref="B192:B195"/>
    <mergeCell ref="A196:A198"/>
    <mergeCell ref="B216:B219"/>
    <mergeCell ref="B220:B223"/>
    <mergeCell ref="B224:B226"/>
    <mergeCell ref="B227:B249"/>
    <mergeCell ref="A250:D250"/>
    <mergeCell ref="B252:B254"/>
    <mergeCell ref="B255:B258"/>
    <mergeCell ref="B259:B262"/>
    <mergeCell ref="A201:A203"/>
    <mergeCell ref="B201:B203"/>
    <mergeCell ref="A204:A207"/>
    <mergeCell ref="B204:B207"/>
    <mergeCell ref="A208:A211"/>
    <mergeCell ref="B208:B211"/>
    <mergeCell ref="B212:B215"/>
    <mergeCell ref="A212:A215"/>
    <mergeCell ref="A216:A219"/>
    <mergeCell ref="A220:A223"/>
    <mergeCell ref="A224:A226"/>
    <mergeCell ref="A227:A249"/>
    <mergeCell ref="A252:A254"/>
    <mergeCell ref="A255:A258"/>
    <mergeCell ref="A274:A276"/>
    <mergeCell ref="B274:B276"/>
    <mergeCell ref="A277:D277"/>
    <mergeCell ref="A259:A262"/>
    <mergeCell ref="A263:A266"/>
    <mergeCell ref="B263:B266"/>
    <mergeCell ref="A267:A270"/>
    <mergeCell ref="B267:B270"/>
    <mergeCell ref="A271:A273"/>
    <mergeCell ref="B271:B273"/>
    <mergeCell ref="A337:D337"/>
    <mergeCell ref="A338:D338"/>
    <mergeCell ref="A339:D339"/>
    <mergeCell ref="A340:D340"/>
    <mergeCell ref="B302:B306"/>
    <mergeCell ref="B307:B310"/>
    <mergeCell ref="A330:D330"/>
    <mergeCell ref="A331:D331"/>
    <mergeCell ref="A332:D332"/>
    <mergeCell ref="A335:D335"/>
    <mergeCell ref="A336:D3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6" max="6" width="13.25"/>
    <col customWidth="1" min="7" max="7" width="16.0"/>
  </cols>
  <sheetData>
    <row r="1">
      <c r="A1" s="3" t="s">
        <v>249</v>
      </c>
      <c r="B1" s="49">
        <f>'Жилищна част'!E336</f>
        <v>2969.22</v>
      </c>
    </row>
    <row r="2">
      <c r="A2" s="3" t="s">
        <v>250</v>
      </c>
      <c r="B2" s="49">
        <f>'Жилищна част'!E335</f>
        <v>17326.33667</v>
      </c>
    </row>
    <row r="3">
      <c r="A3" s="3" t="s">
        <v>251</v>
      </c>
      <c r="B3" s="49">
        <f>B2+B1</f>
        <v>20295.55667</v>
      </c>
    </row>
    <row r="4">
      <c r="A4" s="3" t="s">
        <v>252</v>
      </c>
      <c r="B4" s="137">
        <f>B1/B3</f>
        <v>0.1462990175</v>
      </c>
    </row>
    <row r="6">
      <c r="A6" s="8" t="s">
        <v>253</v>
      </c>
      <c r="D6" s="8" t="s">
        <v>254</v>
      </c>
      <c r="E6" s="8" t="s">
        <v>255</v>
      </c>
      <c r="F6" s="8" t="s">
        <v>58</v>
      </c>
      <c r="G6" s="8" t="s">
        <v>256</v>
      </c>
    </row>
    <row r="7">
      <c r="A7" s="3" t="s">
        <v>46</v>
      </c>
      <c r="B7" s="5">
        <v>740.0</v>
      </c>
      <c r="D7" s="13">
        <f t="shared" ref="D7:D9" si="1">$B$4*B7</f>
        <v>108.261273</v>
      </c>
      <c r="E7" s="13">
        <f t="shared" ref="E7:E9" si="2">D7/3/100</f>
        <v>0.3608709098</v>
      </c>
      <c r="F7" s="13">
        <f t="shared" ref="F7:F9" si="3">B7-D7</f>
        <v>631.738727</v>
      </c>
      <c r="G7" s="13">
        <f t="shared" ref="G7:G9" si="4">F7/100</f>
        <v>6.31738727</v>
      </c>
    </row>
    <row r="8">
      <c r="A8" s="3" t="s">
        <v>41</v>
      </c>
      <c r="B8" s="5">
        <v>700.0</v>
      </c>
      <c r="D8" s="13">
        <f t="shared" si="1"/>
        <v>102.4093123</v>
      </c>
      <c r="E8" s="13">
        <f t="shared" si="2"/>
        <v>0.3413643742</v>
      </c>
      <c r="F8" s="13">
        <f t="shared" si="3"/>
        <v>597.5906877</v>
      </c>
      <c r="G8" s="13">
        <f t="shared" si="4"/>
        <v>5.975906877</v>
      </c>
    </row>
    <row r="9">
      <c r="A9" s="3" t="s">
        <v>57</v>
      </c>
      <c r="B9" s="13">
        <f>0.12*B3</f>
        <v>2435.4668</v>
      </c>
      <c r="D9" s="13">
        <f t="shared" si="1"/>
        <v>356.3064</v>
      </c>
      <c r="E9" s="13">
        <f t="shared" si="2"/>
        <v>1.187688</v>
      </c>
      <c r="F9" s="13">
        <f t="shared" si="3"/>
        <v>2079.1604</v>
      </c>
      <c r="G9" s="13">
        <f t="shared" si="4"/>
        <v>20.791604</v>
      </c>
    </row>
    <row r="14">
      <c r="A14" s="8" t="s">
        <v>257</v>
      </c>
      <c r="B14" s="8">
        <v>5.141</v>
      </c>
    </row>
    <row r="15">
      <c r="A15" s="3" t="s">
        <v>66</v>
      </c>
      <c r="B15" s="5">
        <v>2.5</v>
      </c>
    </row>
    <row r="16">
      <c r="A16" s="3" t="s">
        <v>29</v>
      </c>
      <c r="B16" s="13">
        <f>B14*1.23</f>
        <v>6.32343</v>
      </c>
    </row>
    <row r="17">
      <c r="A17" s="3" t="s">
        <v>46</v>
      </c>
      <c r="B17" s="13">
        <f>B14*E7</f>
        <v>1.855237347</v>
      </c>
    </row>
    <row r="18">
      <c r="A18" s="3" t="s">
        <v>57</v>
      </c>
      <c r="B18" s="21">
        <f t="shared" ref="B18:C18" si="5">41.8*0.12</f>
        <v>5.016</v>
      </c>
      <c r="C18" s="21">
        <f t="shared" si="5"/>
        <v>5.016</v>
      </c>
    </row>
    <row r="19">
      <c r="A19" s="3" t="s">
        <v>258</v>
      </c>
      <c r="B19" s="13">
        <f>B14*E8</f>
        <v>1.754954248</v>
      </c>
    </row>
    <row r="21">
      <c r="B21" s="13">
        <f>SUM(B15:B19)</f>
        <v>17.4496216</v>
      </c>
      <c r="C21" s="13">
        <f>B21/41.8</f>
        <v>0.4174550621</v>
      </c>
    </row>
    <row r="23">
      <c r="A23" s="8" t="s">
        <v>259</v>
      </c>
      <c r="B23" s="8">
        <v>0.745</v>
      </c>
    </row>
    <row r="24">
      <c r="A24" s="3" t="s">
        <v>66</v>
      </c>
      <c r="B24" s="3">
        <v>5.0</v>
      </c>
    </row>
    <row r="25">
      <c r="A25" s="3" t="s">
        <v>43</v>
      </c>
      <c r="B25" s="21">
        <f>7.83*B23</f>
        <v>5.83335</v>
      </c>
    </row>
    <row r="26">
      <c r="A26" s="3" t="s">
        <v>29</v>
      </c>
      <c r="B26" s="21">
        <f>33.3*B23</f>
        <v>24.8085</v>
      </c>
    </row>
    <row r="27">
      <c r="A27" s="3" t="s">
        <v>260</v>
      </c>
      <c r="B27" s="21">
        <f>11.4*B23</f>
        <v>8.493</v>
      </c>
    </row>
    <row r="28">
      <c r="A28" s="3" t="s">
        <v>261</v>
      </c>
      <c r="B28" s="13">
        <f>B23*G8</f>
        <v>4.452050624</v>
      </c>
    </row>
    <row r="29">
      <c r="A29" s="3" t="s">
        <v>48</v>
      </c>
      <c r="B29" s="3">
        <f>0.45*B23</f>
        <v>0.33525</v>
      </c>
    </row>
    <row r="30">
      <c r="A30" s="3" t="s">
        <v>46</v>
      </c>
      <c r="B30" s="13">
        <f>B23*G7</f>
        <v>4.706453517</v>
      </c>
    </row>
    <row r="31">
      <c r="A31" s="3" t="s">
        <v>57</v>
      </c>
      <c r="B31" s="13">
        <f>B23*G9</f>
        <v>15.48974498</v>
      </c>
    </row>
    <row r="33">
      <c r="B33" s="13">
        <f>SUM(B22:B31)</f>
        <v>69.86334912</v>
      </c>
    </row>
    <row r="36">
      <c r="A36" s="8" t="s">
        <v>262</v>
      </c>
      <c r="B36" s="8">
        <v>7.073</v>
      </c>
    </row>
    <row r="37">
      <c r="A37" s="3" t="s">
        <v>66</v>
      </c>
      <c r="B37" s="5">
        <f>2.5*2</f>
        <v>5</v>
      </c>
      <c r="F37" s="13">
        <f>B37</f>
        <v>5</v>
      </c>
    </row>
    <row r="38">
      <c r="A38" s="3" t="s">
        <v>29</v>
      </c>
      <c r="B38" s="13">
        <f>B36*1.23</f>
        <v>8.69979</v>
      </c>
      <c r="F38" s="13">
        <f>B36*1.23</f>
        <v>8.69979</v>
      </c>
    </row>
    <row r="39">
      <c r="A39" s="3" t="s">
        <v>46</v>
      </c>
      <c r="B39" s="13">
        <f>B36*E7</f>
        <v>2.552439945</v>
      </c>
      <c r="F39" s="13">
        <f>B36*1.13</f>
        <v>7.99249</v>
      </c>
    </row>
    <row r="40">
      <c r="A40" s="3" t="s">
        <v>57</v>
      </c>
      <c r="B40" s="13">
        <f>B36*E9</f>
        <v>8.400517224</v>
      </c>
      <c r="F40" s="13">
        <f>1.56*B36</f>
        <v>11.03388</v>
      </c>
    </row>
    <row r="41">
      <c r="A41" s="3" t="s">
        <v>258</v>
      </c>
      <c r="B41" s="13">
        <f>B36*E8</f>
        <v>2.414470219</v>
      </c>
      <c r="F41" s="13">
        <f>1.17*B36</f>
        <v>8.27541</v>
      </c>
    </row>
    <row r="42">
      <c r="F42" s="13"/>
    </row>
    <row r="43">
      <c r="B43" s="13">
        <f>SUM(B37:B41)</f>
        <v>27.06721739</v>
      </c>
      <c r="C43" s="13">
        <f>B43/75.89 </f>
        <v>0.3566638212</v>
      </c>
      <c r="F43" s="13">
        <f>SUM(F37:F41)</f>
        <v>41.00157</v>
      </c>
    </row>
    <row r="45">
      <c r="A45" s="8" t="s">
        <v>263</v>
      </c>
      <c r="B45" s="8">
        <v>0.49</v>
      </c>
    </row>
    <row r="46">
      <c r="A46" s="3" t="s">
        <v>66</v>
      </c>
      <c r="B46" s="5">
        <v>5.0</v>
      </c>
      <c r="F46" s="5">
        <v>5.0</v>
      </c>
    </row>
    <row r="47">
      <c r="A47" s="3" t="s">
        <v>43</v>
      </c>
      <c r="B47" s="13">
        <f>7.83*B45</f>
        <v>3.8367</v>
      </c>
      <c r="F47" s="13">
        <f>B45*7.83</f>
        <v>3.8367</v>
      </c>
    </row>
    <row r="48">
      <c r="A48" s="3" t="s">
        <v>29</v>
      </c>
      <c r="B48" s="13">
        <f>33.3*B45</f>
        <v>16.317</v>
      </c>
      <c r="F48" s="13">
        <f>33.3*B45</f>
        <v>16.317</v>
      </c>
    </row>
    <row r="49">
      <c r="A49" s="3" t="s">
        <v>260</v>
      </c>
      <c r="B49" s="13">
        <f>11.4*B45</f>
        <v>5.586</v>
      </c>
      <c r="F49" s="13">
        <f>11.4*B45</f>
        <v>5.586</v>
      </c>
    </row>
    <row r="50">
      <c r="A50" s="3" t="s">
        <v>261</v>
      </c>
      <c r="B50" s="13">
        <f>B45*G8</f>
        <v>2.92819437</v>
      </c>
      <c r="F50" s="13">
        <f>3.5*B45</f>
        <v>1.715</v>
      </c>
    </row>
    <row r="51">
      <c r="A51" s="3" t="s">
        <v>48</v>
      </c>
      <c r="B51" s="5">
        <f>0.45*B45</f>
        <v>0.2205</v>
      </c>
      <c r="F51" s="13">
        <f>0.45*B45</f>
        <v>0.2205</v>
      </c>
    </row>
    <row r="52">
      <c r="A52" s="3" t="s">
        <v>46</v>
      </c>
      <c r="B52" s="13">
        <f>B45*G7</f>
        <v>3.095519763</v>
      </c>
      <c r="F52" s="13">
        <f>4*B45</f>
        <v>1.96</v>
      </c>
    </row>
    <row r="53">
      <c r="A53" s="3" t="s">
        <v>57</v>
      </c>
      <c r="B53" s="13">
        <f>B45*G9</f>
        <v>10.18788596</v>
      </c>
      <c r="F53" s="13">
        <f>21.38*B45</f>
        <v>10.4762</v>
      </c>
    </row>
    <row r="54">
      <c r="C54" s="3" t="s">
        <v>264</v>
      </c>
      <c r="D54" s="3" t="s">
        <v>265</v>
      </c>
    </row>
    <row r="55">
      <c r="A55" s="3" t="s">
        <v>71</v>
      </c>
      <c r="B55" s="13">
        <f>SUM(B44:B53)</f>
        <v>47.66180009</v>
      </c>
      <c r="C55" s="13">
        <f>B55/'Жилищна част'!H265</f>
        <v>0.5835186103</v>
      </c>
      <c r="D55" s="13">
        <f>(B55-B53)/'Жилищна част'!H265</f>
        <v>0.4587893503</v>
      </c>
      <c r="F55" s="13">
        <f>SUM(F46:F53)</f>
        <v>45.1114</v>
      </c>
    </row>
  </sheetData>
  <drawing r:id="rId1"/>
</worksheet>
</file>