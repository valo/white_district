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Жилищна част" sheetId="1" r:id="rId5"/>
    <sheet state="visible" name="Оферти" sheetId="2" r:id="rId6"/>
  </sheets>
  <definedNames/>
  <calcPr/>
</workbook>
</file>

<file path=xl/sharedStrings.xml><?xml version="1.0" encoding="utf-8"?>
<sst xmlns="http://schemas.openxmlformats.org/spreadsheetml/2006/main" count="612" uniqueCount="224">
  <si>
    <t>ТАБЛИЦА - ПЛОЩОРАЗДЕЛЯНЕ</t>
  </si>
  <si>
    <t>НА "МНОГОПРОФИЛНА ЖИЛИЩНА СГРАДА С ПОДЗЕМНИ ГАРАЦИ В УПИ V, КВ. 5, М. "НПЗ ХЛАДИЛНИКА - ВИТОША ", РАЙОН "Лозенец"</t>
  </si>
  <si>
    <t>1. СГРАДАТА СЕ СЪСТОИ ОТ 128 АПАРТАМЕНТА, 30 АТЕЛИЕТА, 29 ГАРАЖИ, 29 ЕДИНИЧНИ И 47 ДВОЙНИ ПАРКОМЕСТА;</t>
  </si>
  <si>
    <t xml:space="preserve">2. КОНСТРУКЦИЯ </t>
  </si>
  <si>
    <t>3. РАЗГЪНАТА ЗАСТР. КВАДР. НА СГРАДАТА, ВКЛ. СУТЕРЕН</t>
  </si>
  <si>
    <t>4. РАЗГЪНАТА ЗАСТР. КВАДР. НА ОБЩИТЕ ЧАСТИ ЖИЛИЩА</t>
  </si>
  <si>
    <t>5. РАЗГЪНАТА ЗАСТР. КВАДР НА ОБЩИТЕ ЧАСТИ ПОДЗЕМНИ ГАРАЦИ</t>
  </si>
  <si>
    <t>6. ПЛОЩ НА УПИ</t>
  </si>
  <si>
    <t>ЕТ.</t>
  </si>
  <si>
    <t xml:space="preserve">К. </t>
  </si>
  <si>
    <t>АП. №</t>
  </si>
  <si>
    <t>ОПИСАНИЕ</t>
  </si>
  <si>
    <t>F1/M2/</t>
  </si>
  <si>
    <t>К И.Ч./%/</t>
  </si>
  <si>
    <t>К И.Ч. /М2/</t>
  </si>
  <si>
    <t>F1 + К И.Ч.</t>
  </si>
  <si>
    <t>ПОДОБЕКТ: СГРАДА ВХОД "А" И ВХОД "Б"/ПОДОБЕКТ: I ВХОД - А И ВХОД Б/</t>
  </si>
  <si>
    <t>СУТЕРЕН</t>
  </si>
  <si>
    <t>ПМ 1-2</t>
  </si>
  <si>
    <t>ПАРКОМЯСТО</t>
  </si>
  <si>
    <t>ПМ 3-4</t>
  </si>
  <si>
    <t>ПМ 5-6</t>
  </si>
  <si>
    <t>ПМ 7-8</t>
  </si>
  <si>
    <t>ПМ 9-10</t>
  </si>
  <si>
    <t>ПМ 11-12</t>
  </si>
  <si>
    <t>ПМ 13-14</t>
  </si>
  <si>
    <t>ПМ 15-16</t>
  </si>
  <si>
    <t>ПМ 17-18</t>
  </si>
  <si>
    <t>ПМ 19-20</t>
  </si>
  <si>
    <t>ПМ 21-22</t>
  </si>
  <si>
    <t>ПМ 23-24</t>
  </si>
  <si>
    <t>ПМ 25-26</t>
  </si>
  <si>
    <t>ПМ 27-28</t>
  </si>
  <si>
    <t>ПМ 29-30</t>
  </si>
  <si>
    <t>ПМ 31-32</t>
  </si>
  <si>
    <t>ПМ 33-34</t>
  </si>
  <si>
    <t>ПМ 35-36</t>
  </si>
  <si>
    <t>ПМ 37-38</t>
  </si>
  <si>
    <t>ПМ 39</t>
  </si>
  <si>
    <t>ПМ 40</t>
  </si>
  <si>
    <t>ПМ 41</t>
  </si>
  <si>
    <t>ПМ 42</t>
  </si>
  <si>
    <t>ПМ 43</t>
  </si>
  <si>
    <t>ПМ 44</t>
  </si>
  <si>
    <t>ПМ 45-46</t>
  </si>
  <si>
    <t>ПМ 47-48</t>
  </si>
  <si>
    <t>ОБЩО ПАРКОМЕСТА ЗА СУТЕРЕН "А-Б"</t>
  </si>
  <si>
    <t>ПОДОБЕКТ: СГРАДА ВХОД "В" И ВХОД "Г"/ПОДОБЕКТ: II ВХОД - В  И ВХОД Г/</t>
  </si>
  <si>
    <t>ПМ 11</t>
  </si>
  <si>
    <t>ПМ 12</t>
  </si>
  <si>
    <t>ПМ 13</t>
  </si>
  <si>
    <t>ПМ 14</t>
  </si>
  <si>
    <t>ПМ 15</t>
  </si>
  <si>
    <t>ПМ 16</t>
  </si>
  <si>
    <t>ПМ 31</t>
  </si>
  <si>
    <t>ПМ 32</t>
  </si>
  <si>
    <t>ОБЩО ПАРКОМЕСТА ЗА СУТЕРЕН "В-Г"</t>
  </si>
  <si>
    <t>ПОДОБЕКТ: СГРАДА ВХОД "Д" И ВХОД "Е"/ПОДОБЕКТ: III ВХОД - Д  И ВХОД Е/</t>
  </si>
  <si>
    <t>ПМ 17</t>
  </si>
  <si>
    <t>ПМ 18</t>
  </si>
  <si>
    <t>ПМ 19</t>
  </si>
  <si>
    <t>ПМ 20</t>
  </si>
  <si>
    <t>ПМ 21</t>
  </si>
  <si>
    <t>ПМ 22</t>
  </si>
  <si>
    <t>ПМ 23</t>
  </si>
  <si>
    <t>ПМ 24-25</t>
  </si>
  <si>
    <t>ПМ 26-27</t>
  </si>
  <si>
    <t>ПМ 28</t>
  </si>
  <si>
    <t>ПМ 29</t>
  </si>
  <si>
    <t>ПМ 30</t>
  </si>
  <si>
    <t>ПМ 32-33</t>
  </si>
  <si>
    <t>ПМ 34</t>
  </si>
  <si>
    <t>ПМ 37</t>
  </si>
  <si>
    <t>ПМ 38-39</t>
  </si>
  <si>
    <t>ПМ 40-41</t>
  </si>
  <si>
    <t>ПМ 42-43</t>
  </si>
  <si>
    <t>ОБЩО ПАРКОМЕСТА ЗА СУТЕРЕН "Д-Е"</t>
  </si>
  <si>
    <t>ВСИЧКО СУТЕРЕН</t>
  </si>
  <si>
    <t>ВХОД "А"</t>
  </si>
  <si>
    <t>партер</t>
  </si>
  <si>
    <t>ГАРАЖ 2</t>
  </si>
  <si>
    <t>ГАРАЖ</t>
  </si>
  <si>
    <t>ГАРАЖ 3</t>
  </si>
  <si>
    <t>ГАРАЖ 4</t>
  </si>
  <si>
    <t>ГАРАЖ 5</t>
  </si>
  <si>
    <t>ГАРАЖ 6</t>
  </si>
  <si>
    <t>ГАРАЖ 7</t>
  </si>
  <si>
    <t>АП. 001</t>
  </si>
  <si>
    <t>АП. 002</t>
  </si>
  <si>
    <t>I</t>
  </si>
  <si>
    <t>АТ. 101</t>
  </si>
  <si>
    <t>АП. 102</t>
  </si>
  <si>
    <t>АП. 103</t>
  </si>
  <si>
    <t>АП. 104</t>
  </si>
  <si>
    <t>АП. 105</t>
  </si>
  <si>
    <t>II</t>
  </si>
  <si>
    <t>АТ. 201</t>
  </si>
  <si>
    <t>АП. 202</t>
  </si>
  <si>
    <t>АП. 203</t>
  </si>
  <si>
    <t>АП. 204</t>
  </si>
  <si>
    <t>АП. 205</t>
  </si>
  <si>
    <t>III</t>
  </si>
  <si>
    <t>АТ. 301</t>
  </si>
  <si>
    <t>АП. 302</t>
  </si>
  <si>
    <t>АП. 303</t>
  </si>
  <si>
    <t>АП.304</t>
  </si>
  <si>
    <t>АП. 305</t>
  </si>
  <si>
    <t>IV</t>
  </si>
  <si>
    <t>АТ. 401</t>
  </si>
  <si>
    <t>АП. 402</t>
  </si>
  <si>
    <t>0.872%</t>
  </si>
  <si>
    <t>АП. 404</t>
  </si>
  <si>
    <t>АП. 405</t>
  </si>
  <si>
    <t>V</t>
  </si>
  <si>
    <t>АТ. 501</t>
  </si>
  <si>
    <t>АП. 502</t>
  </si>
  <si>
    <t>АП. 503</t>
  </si>
  <si>
    <t>АП. 504</t>
  </si>
  <si>
    <t>VI</t>
  </si>
  <si>
    <t>АП. 601</t>
  </si>
  <si>
    <t>АП. 602</t>
  </si>
  <si>
    <t>АП. 603</t>
  </si>
  <si>
    <t>ОБЩО АПАРТАМЕНТИ И ГАРАЖИ ЗА ВХОД "А"</t>
  </si>
  <si>
    <t>ВХОД "Б"</t>
  </si>
  <si>
    <t>ПАРТЕР</t>
  </si>
  <si>
    <t>АП. 403</t>
  </si>
  <si>
    <t>M1</t>
  </si>
  <si>
    <t>МАЗЕ*</t>
  </si>
  <si>
    <t>M2</t>
  </si>
  <si>
    <t>M3</t>
  </si>
  <si>
    <t>M4</t>
  </si>
  <si>
    <t>M5</t>
  </si>
  <si>
    <t>M6</t>
  </si>
  <si>
    <t>0.010%</t>
  </si>
  <si>
    <t>M7</t>
  </si>
  <si>
    <t>M8</t>
  </si>
  <si>
    <t>M9</t>
  </si>
  <si>
    <t>M9СТ</t>
  </si>
  <si>
    <t>М10</t>
  </si>
  <si>
    <t>М11</t>
  </si>
  <si>
    <t>М12</t>
  </si>
  <si>
    <t>ОБЩО АПАРТАМЕНТИ И ГАРАЖИ ЗА ВХОД "Б" + МАЗЕТА ЗА ВХОД "А-Б"</t>
  </si>
  <si>
    <t>ВХОД "В"</t>
  </si>
  <si>
    <t>ОБЩО АПАРТАМЕНТИ И ГАРАЖИ ЗА ВХОД "В"</t>
  </si>
  <si>
    <t>ВХОД "Г"</t>
  </si>
  <si>
    <t>M10</t>
  </si>
  <si>
    <t>М12СТ</t>
  </si>
  <si>
    <t>M13</t>
  </si>
  <si>
    <t>0.004%</t>
  </si>
  <si>
    <t>M14</t>
  </si>
  <si>
    <t>M15</t>
  </si>
  <si>
    <t>M16</t>
  </si>
  <si>
    <t>M17</t>
  </si>
  <si>
    <t>M18</t>
  </si>
  <si>
    <t>M19</t>
  </si>
  <si>
    <t>M20</t>
  </si>
  <si>
    <t>M20СТ</t>
  </si>
  <si>
    <t>M21</t>
  </si>
  <si>
    <t>ОБЩО АПАРТАМЕНТИ И ГАРАЖИ ЗА ВХОД "Г" + МАЗЕТА ЗА ВХОД "В-Г"</t>
  </si>
  <si>
    <t>ВХОД "Д"</t>
  </si>
  <si>
    <t>ОБЩО АПАРТАМЕНТИ И ГАРАЖИ ЗА ВХОД "Д"</t>
  </si>
  <si>
    <t>ВХОД "E"</t>
  </si>
  <si>
    <t>ОБЩО АПАРТАМЕНТИ И ГАРАЖИ ЗА ВХОД "Е" + МАЗЕТА ЗА ВХОД "Д-Е"</t>
  </si>
  <si>
    <t>АПАРТАМЕНТИ, ГАРАЖИ И МАЗЕТА</t>
  </si>
  <si>
    <t>Оща площ на жилищна част:</t>
  </si>
  <si>
    <t>Сума за събиране:</t>
  </si>
  <si>
    <t>Оща площ на подземни паркоместа:</t>
  </si>
  <si>
    <t>Общ брой жилищни обекти:</t>
  </si>
  <si>
    <t>Общ брой гаражи:</t>
  </si>
  <si>
    <t>Общ брой мазета:</t>
  </si>
  <si>
    <t>Общ брой паркоместа:</t>
  </si>
  <si>
    <t>апартаменти + гаражи</t>
  </si>
  <si>
    <t>паркоместа + мазета</t>
  </si>
  <si>
    <t>Категория</t>
  </si>
  <si>
    <t>Услуга</t>
  </si>
  <si>
    <t>Стопанка V1 (24/7 портиер)</t>
  </si>
  <si>
    <t>Стопанка V2 (8ч портиер)</t>
  </si>
  <si>
    <t>Стопанка V3 (без портиер)</t>
  </si>
  <si>
    <t>FM Solutions (24/7 портиер)</t>
  </si>
  <si>
    <t>FM Solutions (без портиер)</t>
  </si>
  <si>
    <t>Премиум Естейт</t>
  </si>
  <si>
    <t>Бележки</t>
  </si>
  <si>
    <t>Управление</t>
  </si>
  <si>
    <t>Домоуправител + касиер (на обект)</t>
  </si>
  <si>
    <t>4.17€/ап + 2.08€/паркомясто + 0.83€/мазе</t>
  </si>
  <si>
    <t>—</t>
  </si>
  <si>
    <t>Стопанка: 5/2.5/1 € с ДДС → /1.20</t>
  </si>
  <si>
    <t>Такса управление Стопанка ООД</t>
  </si>
  <si>
    <t>Такса управление на паркоместа</t>
  </si>
  <si>
    <t>Такса управление на мазета</t>
  </si>
  <si>
    <t>Такса FM управление</t>
  </si>
  <si>
    <t>Контрол на достъп</t>
  </si>
  <si>
    <t>Портиер / охрана</t>
  </si>
  <si>
    <t>Стопанка: портиер 4200/1600 € с ДДС → /1.20</t>
  </si>
  <si>
    <t>Почистване</t>
  </si>
  <si>
    <t>Почистване – жилищна част</t>
  </si>
  <si>
    <t>Стопанка: 1800€ с ДДС → 1500 без ДДС → ×(5/3)=2500</t>
  </si>
  <si>
    <t>Почистване – гаражи/паркинг (+ фасада/тротоари при FM)</t>
  </si>
  <si>
    <t>Стопанка: 350€ с ДДС → /1.20</t>
  </si>
  <si>
    <t>Техническа</t>
  </si>
  <si>
    <t>Техническа поддръжка</t>
  </si>
  <si>
    <t>Стопанка: 700€ с ДДС → /1.20</t>
  </si>
  <si>
    <t>Външни площи</t>
  </si>
  <si>
    <t>Зелени площи</t>
  </si>
  <si>
    <t>FM: 900€/месец март–ноември → 900×9/12=675</t>
  </si>
  <si>
    <t>Снегопочистване</t>
  </si>
  <si>
    <t>(включено в 916.67)</t>
  </si>
  <si>
    <t>(включено)</t>
  </si>
  <si>
    <t>FM: 1800€/месец дек–март → 1800×4/12=600</t>
  </si>
  <si>
    <t>Режийни</t>
  </si>
  <si>
    <t>Ток</t>
  </si>
  <si>
    <t>усреднено от финансов отчет за 2025</t>
  </si>
  <si>
    <t>Вода</t>
  </si>
  <si>
    <t>Асансьор</t>
  </si>
  <si>
    <t>оферта от Alex EA</t>
  </si>
  <si>
    <t>ОБЩО (фиксирани суми)</t>
  </si>
  <si>
    <t>Стопанка общо = редове с фиксирани суми; FM “11100” е по офертата</t>
  </si>
  <si>
    <t>ОБЩО (жилищна част)</t>
  </si>
  <si>
    <t>ОБЩО (паркоместа)</t>
  </si>
  <si>
    <t>ОБЩО (споделено жилищна и паркоместа)</t>
  </si>
  <si>
    <t>Такса на кв.м. жилищна част</t>
  </si>
  <si>
    <t>Такса на кв.м. паркоместа</t>
  </si>
  <si>
    <t>Въпроси:</t>
  </si>
  <si>
    <t>- Има ли допълнителна такса за затворените гаражи или ги смятаме към прилежащите им апартаменти?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</si>
</sst>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0.000%"/>
    <numFmt numFmtId="165" formatCode="#,##0.00000"/>
    <numFmt numFmtId="166" formatCode="#,##0.000"/>
    <numFmt numFmtId="167" formatCode="[$€]#,##0.00"/>
  </numFmts>
  <fonts count="12">
    <font>
      <sz val="10.0"/>
      <color rgb="FF000000"/>
      <name val="Arial"/>
      <scheme val="minor"/>
    </font>
    <font>
      <b/>
      <sz val="18.0"/>
      <color theme="1"/>
      <name val="Calibri"/>
    </font>
    <font/>
    <font>
      <color theme="1"/>
      <name val="Arial"/>
      <scheme val="minor"/>
    </font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sz val="11.0"/>
      <color theme="1"/>
      <name val="Calibri"/>
    </font>
    <font>
      <b/>
      <u/>
      <color theme="1"/>
      <name val="Calibri"/>
    </font>
    <font>
      <b/>
      <u/>
      <color theme="1"/>
      <name val="Calibri"/>
    </font>
    <font>
      <b/>
      <u/>
      <color theme="1"/>
      <name val="Calibri"/>
    </font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2DBDB"/>
        <bgColor rgb="FFF2DBDB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</fills>
  <borders count="31">
    <border/>
    <border>
      <left style="thin">
        <color theme="0"/>
      </left>
      <top style="thin">
        <color theme="0"/>
      </top>
      <bottom style="thin">
        <color theme="0"/>
      </bottom>
    </border>
    <border>
      <top style="thin">
        <color theme="0"/>
      </top>
      <bottom style="thin">
        <color theme="0"/>
      </bottom>
    </border>
    <border>
      <right style="medium">
        <color rgb="FF000000"/>
      </right>
      <top style="thin">
        <color theme="0"/>
      </top>
      <bottom style="thin">
        <color theme="0"/>
      </bottom>
    </border>
    <border>
      <left style="thin">
        <color theme="0"/>
      </left>
      <top style="thin">
        <color theme="0"/>
      </top>
    </border>
    <border>
      <top style="thin">
        <color theme="0"/>
      </top>
    </border>
    <border>
      <right style="medium">
        <color rgb="FF000000"/>
      </right>
      <top style="thin">
        <color theme="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medium">
        <color rgb="FF000000"/>
      </right>
    </border>
  </borders>
  <cellStyleXfs count="1">
    <xf borderId="0" fillId="0" fontId="0" numFmtId="0" applyAlignment="1" applyFont="1"/>
  </cellStyleXfs>
  <cellXfs count="10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bottom"/>
    </xf>
    <xf borderId="2" fillId="0" fontId="2" numFmtId="0" xfId="0" applyBorder="1" applyFont="1"/>
    <xf borderId="3" fillId="0" fontId="2" numFmtId="0" xfId="0" applyBorder="1" applyFont="1"/>
    <xf borderId="0" fillId="0" fontId="3" numFmtId="4" xfId="0" applyFont="1" applyNumberFormat="1"/>
    <xf borderId="1" fillId="0" fontId="4" numFmtId="0" xfId="0" applyAlignment="1" applyBorder="1" applyFont="1">
      <alignment horizontal="center" shrinkToFit="0" vertical="bottom" wrapText="1"/>
    </xf>
    <xf borderId="1" fillId="0" fontId="5" numFmtId="0" xfId="0" applyAlignment="1" applyBorder="1" applyFont="1">
      <alignment horizontal="left" shrinkToFit="0" vertical="bottom" wrapText="1"/>
    </xf>
    <xf borderId="1" fillId="0" fontId="5" numFmtId="0" xfId="0" applyAlignment="1" applyBorder="1" applyFont="1">
      <alignment vertical="bottom"/>
    </xf>
    <xf borderId="4" fillId="0" fontId="5" numFmtId="0" xfId="0" applyAlignment="1" applyBorder="1" applyFont="1">
      <alignment vertical="bottom"/>
    </xf>
    <xf borderId="5" fillId="0" fontId="2" numFmtId="0" xfId="0" applyBorder="1" applyFont="1"/>
    <xf borderId="6" fillId="0" fontId="2" numFmtId="0" xfId="0" applyBorder="1" applyFont="1"/>
    <xf borderId="7" fillId="2" fontId="6" numFmtId="0" xfId="0" applyAlignment="1" applyBorder="1" applyFill="1" applyFont="1">
      <alignment horizontal="center"/>
    </xf>
    <xf borderId="7" fillId="2" fontId="6" numFmtId="4" xfId="0" applyAlignment="1" applyBorder="1" applyFont="1" applyNumberFormat="1">
      <alignment horizontal="center"/>
    </xf>
    <xf borderId="8" fillId="2" fontId="6" numFmtId="4" xfId="0" applyAlignment="1" applyBorder="1" applyFont="1" applyNumberFormat="1">
      <alignment horizontal="center"/>
    </xf>
    <xf borderId="7" fillId="0" fontId="7" numFmtId="0" xfId="0" applyBorder="1" applyFont="1"/>
    <xf borderId="7" fillId="0" fontId="6" numFmtId="0" xfId="0" applyAlignment="1" applyBorder="1" applyFont="1">
      <alignment horizontal="center"/>
    </xf>
    <xf borderId="7" fillId="0" fontId="6" numFmtId="3" xfId="0" applyAlignment="1" applyBorder="1" applyFont="1" applyNumberFormat="1">
      <alignment horizontal="center"/>
    </xf>
    <xf borderId="7" fillId="0" fontId="6" numFmtId="4" xfId="0" applyAlignment="1" applyBorder="1" applyFont="1" applyNumberFormat="1">
      <alignment horizontal="center"/>
    </xf>
    <xf borderId="8" fillId="0" fontId="6" numFmtId="4" xfId="0" applyAlignment="1" applyBorder="1" applyFont="1" applyNumberFormat="1">
      <alignment horizontal="center"/>
    </xf>
    <xf borderId="9" fillId="2" fontId="5" numFmtId="0" xfId="0" applyAlignment="1" applyBorder="1" applyFont="1">
      <alignment horizontal="center" shrinkToFit="0" vertical="bottom" wrapText="1"/>
    </xf>
    <xf borderId="10" fillId="0" fontId="2" numFmtId="0" xfId="0" applyBorder="1" applyFont="1"/>
    <xf borderId="11" fillId="0" fontId="2" numFmtId="0" xfId="0" applyBorder="1" applyFont="1"/>
    <xf borderId="12" fillId="0" fontId="4" numFmtId="0" xfId="0" applyAlignment="1" applyBorder="1" applyFont="1">
      <alignment horizontal="center" shrinkToFit="0" textRotation="90" wrapText="1"/>
    </xf>
    <xf borderId="12" fillId="0" fontId="4" numFmtId="0" xfId="0" applyAlignment="1" applyBorder="1" applyFont="1">
      <alignment horizontal="center" textRotation="90"/>
    </xf>
    <xf borderId="7" fillId="0" fontId="6" numFmtId="0" xfId="0" applyAlignment="1" applyBorder="1" applyFont="1">
      <alignment horizontal="center" vertical="bottom"/>
    </xf>
    <xf borderId="7" fillId="0" fontId="6" numFmtId="4" xfId="0" applyAlignment="1" applyBorder="1" applyFont="1" applyNumberFormat="1">
      <alignment horizontal="center" vertical="bottom"/>
    </xf>
    <xf borderId="7" fillId="0" fontId="6" numFmtId="164" xfId="0" applyAlignment="1" applyBorder="1" applyFont="1" applyNumberFormat="1">
      <alignment horizontal="center" vertical="bottom"/>
    </xf>
    <xf borderId="8" fillId="0" fontId="6" numFmtId="4" xfId="0" applyAlignment="1" applyBorder="1" applyFont="1" applyNumberFormat="1">
      <alignment horizontal="center" vertical="bottom"/>
    </xf>
    <xf borderId="0" fillId="0" fontId="6" numFmtId="4" xfId="0" applyAlignment="1" applyFont="1" applyNumberFormat="1">
      <alignment horizontal="center" vertical="bottom"/>
    </xf>
    <xf borderId="13" fillId="0" fontId="2" numFmtId="0" xfId="0" applyBorder="1" applyFont="1"/>
    <xf borderId="0" fillId="0" fontId="6" numFmtId="165" xfId="0" applyAlignment="1" applyFont="1" applyNumberFormat="1">
      <alignment horizontal="center" vertical="bottom"/>
    </xf>
    <xf borderId="14" fillId="0" fontId="2" numFmtId="0" xfId="0" applyBorder="1" applyFont="1"/>
    <xf borderId="9" fillId="0" fontId="8" numFmtId="0" xfId="0" applyAlignment="1" applyBorder="1" applyFont="1">
      <alignment horizontal="left" readingOrder="0" vertical="bottom"/>
    </xf>
    <xf borderId="15" fillId="0" fontId="2" numFmtId="0" xfId="0" applyBorder="1" applyFont="1"/>
    <xf borderId="7" fillId="0" fontId="6" numFmtId="10" xfId="0" applyAlignment="1" applyBorder="1" applyFont="1" applyNumberFormat="1">
      <alignment horizontal="center" vertical="bottom"/>
    </xf>
    <xf borderId="0" fillId="0" fontId="6" numFmtId="4" xfId="0" applyAlignment="1" applyFont="1" applyNumberFormat="1">
      <alignment horizontal="center" readingOrder="0" vertical="bottom"/>
    </xf>
    <xf borderId="7" fillId="2" fontId="5" numFmtId="0" xfId="0" applyAlignment="1" applyBorder="1" applyFont="1">
      <alignment vertical="bottom"/>
    </xf>
    <xf borderId="7" fillId="2" fontId="7" numFmtId="0" xfId="0" applyAlignment="1" applyBorder="1" applyFont="1">
      <alignment vertical="bottom"/>
    </xf>
    <xf borderId="7" fillId="2" fontId="7" numFmtId="4" xfId="0" applyAlignment="1" applyBorder="1" applyFont="1" applyNumberFormat="1">
      <alignment vertical="bottom"/>
    </xf>
    <xf borderId="8" fillId="2" fontId="7" numFmtId="4" xfId="0" applyAlignment="1" applyBorder="1" applyFont="1" applyNumberFormat="1">
      <alignment vertical="bottom"/>
    </xf>
    <xf borderId="16" fillId="0" fontId="9" numFmtId="0" xfId="0" applyAlignment="1" applyBorder="1" applyFont="1">
      <alignment horizontal="left" readingOrder="0" vertical="bottom"/>
    </xf>
    <xf borderId="17" fillId="0" fontId="2" numFmtId="0" xfId="0" applyBorder="1" applyFont="1"/>
    <xf borderId="18" fillId="0" fontId="2" numFmtId="0" xfId="0" applyBorder="1" applyFont="1"/>
    <xf borderId="12" fillId="0" fontId="6" numFmtId="4" xfId="0" applyAlignment="1" applyBorder="1" applyFont="1" applyNumberFormat="1">
      <alignment horizontal="center" vertical="bottom"/>
    </xf>
    <xf borderId="12" fillId="0" fontId="6" numFmtId="10" xfId="0" applyAlignment="1" applyBorder="1" applyFont="1" applyNumberFormat="1">
      <alignment horizontal="center" vertical="bottom"/>
    </xf>
    <xf borderId="19" fillId="0" fontId="6" numFmtId="4" xfId="0" applyAlignment="1" applyBorder="1" applyFont="1" applyNumberFormat="1">
      <alignment horizontal="center" vertical="bottom"/>
    </xf>
    <xf borderId="20" fillId="0" fontId="5" numFmtId="0" xfId="0" applyAlignment="1" applyBorder="1" applyFont="1">
      <alignment horizontal="center" vertical="bottom"/>
    </xf>
    <xf borderId="21" fillId="0" fontId="2" numFmtId="0" xfId="0" applyBorder="1" applyFont="1"/>
    <xf borderId="22" fillId="0" fontId="2" numFmtId="0" xfId="0" applyBorder="1" applyFont="1"/>
    <xf borderId="23" fillId="0" fontId="6" numFmtId="4" xfId="0" applyAlignment="1" applyBorder="1" applyFont="1" applyNumberFormat="1">
      <alignment horizontal="center" vertical="bottom"/>
    </xf>
    <xf borderId="23" fillId="0" fontId="6" numFmtId="10" xfId="0" applyAlignment="1" applyBorder="1" applyFont="1" applyNumberFormat="1">
      <alignment horizontal="center" vertical="bottom"/>
    </xf>
    <xf borderId="0" fillId="0" fontId="6" numFmtId="4" xfId="0" applyAlignment="1" applyFont="1" applyNumberFormat="1">
      <alignment vertical="bottom"/>
    </xf>
    <xf borderId="14" fillId="2" fontId="5" numFmtId="0" xfId="0" applyAlignment="1" applyBorder="1" applyFont="1">
      <alignment readingOrder="0" vertical="bottom"/>
    </xf>
    <xf borderId="14" fillId="2" fontId="7" numFmtId="0" xfId="0" applyAlignment="1" applyBorder="1" applyFont="1">
      <alignment vertical="bottom"/>
    </xf>
    <xf borderId="14" fillId="2" fontId="7" numFmtId="4" xfId="0" applyAlignment="1" applyBorder="1" applyFont="1" applyNumberFormat="1">
      <alignment vertical="bottom"/>
    </xf>
    <xf borderId="24" fillId="2" fontId="7" numFmtId="4" xfId="0" applyAlignment="1" applyBorder="1" applyFont="1" applyNumberFormat="1">
      <alignment vertical="bottom"/>
    </xf>
    <xf borderId="7" fillId="0" fontId="6" numFmtId="4" xfId="0" applyAlignment="1" applyBorder="1" applyFont="1" applyNumberFormat="1">
      <alignment horizontal="center" readingOrder="0" vertical="bottom"/>
    </xf>
    <xf borderId="7" fillId="0" fontId="6" numFmtId="0" xfId="0" applyAlignment="1" applyBorder="1" applyFont="1">
      <alignment horizontal="center" readingOrder="0" vertical="bottom"/>
    </xf>
    <xf borderId="7" fillId="0" fontId="7" numFmtId="4" xfId="0" applyAlignment="1" applyBorder="1" applyFont="1" applyNumberFormat="1">
      <alignment vertical="bottom"/>
    </xf>
    <xf borderId="7" fillId="0" fontId="6" numFmtId="0" xfId="0" applyAlignment="1" applyBorder="1" applyFont="1">
      <alignment horizontal="center" vertical="bottom"/>
    </xf>
    <xf borderId="7" fillId="2" fontId="5" numFmtId="0" xfId="0" applyAlignment="1" applyBorder="1" applyFont="1">
      <alignment vertical="bottom"/>
    </xf>
    <xf borderId="7" fillId="2" fontId="7" numFmtId="0" xfId="0" applyAlignment="1" applyBorder="1" applyFont="1">
      <alignment vertical="bottom"/>
    </xf>
    <xf borderId="12" fillId="0" fontId="4" numFmtId="0" xfId="0" applyAlignment="1" applyBorder="1" applyFont="1">
      <alignment horizontal="center" shrinkToFit="0" textRotation="90" wrapText="1"/>
    </xf>
    <xf borderId="12" fillId="0" fontId="4" numFmtId="0" xfId="0" applyAlignment="1" applyBorder="1" applyFont="1">
      <alignment horizontal="center" textRotation="90"/>
    </xf>
    <xf borderId="0" fillId="0" fontId="6" numFmtId="166" xfId="0" applyAlignment="1" applyFont="1" applyNumberFormat="1">
      <alignment horizontal="center" readingOrder="0" vertical="bottom"/>
    </xf>
    <xf borderId="7" fillId="0" fontId="6" numFmtId="2" xfId="0" applyAlignment="1" applyBorder="1" applyFont="1" applyNumberFormat="1">
      <alignment horizontal="center" vertical="bottom"/>
    </xf>
    <xf borderId="25" fillId="0" fontId="10" numFmtId="0" xfId="0" applyAlignment="1" applyBorder="1" applyFont="1">
      <alignment horizontal="left" readingOrder="0" vertical="bottom"/>
    </xf>
    <xf borderId="26" fillId="0" fontId="2" numFmtId="0" xfId="0" applyBorder="1" applyFont="1"/>
    <xf borderId="27" fillId="0" fontId="2" numFmtId="0" xfId="0" applyBorder="1" applyFont="1"/>
    <xf borderId="28" fillId="0" fontId="6" numFmtId="2" xfId="0" applyAlignment="1" applyBorder="1" applyFont="1" applyNumberFormat="1">
      <alignment horizontal="center" vertical="bottom"/>
    </xf>
    <xf borderId="28" fillId="0" fontId="6" numFmtId="10" xfId="0" applyAlignment="1" applyBorder="1" applyFont="1" applyNumberFormat="1">
      <alignment horizontal="center" vertical="bottom"/>
    </xf>
    <xf borderId="28" fillId="0" fontId="6" numFmtId="4" xfId="0" applyAlignment="1" applyBorder="1" applyFont="1" applyNumberFormat="1">
      <alignment horizontal="center" vertical="bottom"/>
    </xf>
    <xf borderId="29" fillId="0" fontId="6" numFmtId="4" xfId="0" applyAlignment="1" applyBorder="1" applyFont="1" applyNumberFormat="1">
      <alignment horizontal="center" vertical="bottom"/>
    </xf>
    <xf borderId="20" fillId="0" fontId="5" numFmtId="0" xfId="0" applyAlignment="1" applyBorder="1" applyFont="1">
      <alignment horizontal="center" readingOrder="0" vertical="bottom"/>
    </xf>
    <xf borderId="20" fillId="0" fontId="5" numFmtId="0" xfId="0" applyAlignment="1" applyBorder="1" applyFont="1">
      <alignment horizontal="left" readingOrder="0" vertical="bottom"/>
    </xf>
    <xf borderId="0" fillId="0" fontId="5" numFmtId="0" xfId="0" applyAlignment="1" applyFont="1">
      <alignment horizontal="center" vertical="bottom"/>
    </xf>
    <xf borderId="0" fillId="0" fontId="6" numFmtId="10" xfId="0" applyAlignment="1" applyFont="1" applyNumberFormat="1">
      <alignment horizontal="center" vertical="bottom"/>
    </xf>
    <xf borderId="30" fillId="0" fontId="6" numFmtId="4" xfId="0" applyAlignment="1" applyBorder="1" applyFont="1" applyNumberFormat="1">
      <alignment horizontal="center" vertical="bottom"/>
    </xf>
    <xf borderId="20" fillId="0" fontId="3" numFmtId="0" xfId="0" applyAlignment="1" applyBorder="1" applyFont="1">
      <alignment readingOrder="0"/>
    </xf>
    <xf borderId="23" fillId="3" fontId="3" numFmtId="4" xfId="0" applyAlignment="1" applyBorder="1" applyFill="1" applyFont="1" applyNumberFormat="1">
      <alignment horizontal="center"/>
    </xf>
    <xf borderId="0" fillId="0" fontId="3" numFmtId="4" xfId="0" applyAlignment="1" applyFont="1" applyNumberFormat="1">
      <alignment readingOrder="0"/>
    </xf>
    <xf borderId="20" fillId="0" fontId="3" numFmtId="0" xfId="0" applyAlignment="1" applyBorder="1" applyFont="1">
      <alignment horizontal="center" readingOrder="0"/>
    </xf>
    <xf borderId="20" fillId="0" fontId="3" numFmtId="4" xfId="0" applyAlignment="1" applyBorder="1" applyFont="1" applyNumberFormat="1">
      <alignment horizontal="center" readingOrder="0"/>
    </xf>
    <xf borderId="23" fillId="3" fontId="3" numFmtId="0" xfId="0" applyAlignment="1" applyBorder="1" applyFont="1">
      <alignment horizontal="center"/>
    </xf>
    <xf borderId="30" fillId="0" fontId="3" numFmtId="0" xfId="0" applyBorder="1" applyFont="1"/>
    <xf borderId="30" fillId="0" fontId="3" numFmtId="4" xfId="0" applyBorder="1" applyFont="1" applyNumberFormat="1"/>
    <xf borderId="30" fillId="0" fontId="3" numFmtId="4" xfId="0" applyAlignment="1" applyBorder="1" applyFont="1" applyNumberFormat="1">
      <alignment readingOrder="0"/>
    </xf>
    <xf borderId="0" fillId="0" fontId="7" numFmtId="4" xfId="0" applyAlignment="1" applyFont="1" applyNumberFormat="1">
      <alignment readingOrder="0" vertical="bottom"/>
    </xf>
    <xf borderId="0" fillId="0" fontId="6" numFmtId="4" xfId="0" applyAlignment="1" applyFont="1" applyNumberFormat="1">
      <alignment horizontal="right" vertical="bottom"/>
    </xf>
    <xf borderId="0" fillId="0" fontId="6" numFmtId="164" xfId="0" applyAlignment="1" applyFont="1" applyNumberFormat="1">
      <alignment horizontal="center" vertical="bottom"/>
    </xf>
    <xf borderId="0" fillId="3" fontId="11" numFmtId="0" xfId="0" applyAlignment="1" applyFont="1">
      <alignment horizontal="center" readingOrder="0"/>
    </xf>
    <xf borderId="0" fillId="3" fontId="11" numFmtId="167" xfId="0" applyAlignment="1" applyFont="1" applyNumberFormat="1">
      <alignment horizontal="center" readingOrder="0"/>
    </xf>
    <xf borderId="0" fillId="3" fontId="3" numFmtId="0" xfId="0" applyFont="1"/>
    <xf borderId="0" fillId="0" fontId="3" numFmtId="0" xfId="0" applyAlignment="1" applyFont="1">
      <alignment readingOrder="0"/>
    </xf>
    <xf borderId="0" fillId="0" fontId="3" numFmtId="167" xfId="0" applyAlignment="1" applyFont="1" applyNumberFormat="1">
      <alignment readingOrder="0"/>
    </xf>
    <xf borderId="0" fillId="0" fontId="11" numFmtId="0" xfId="0" applyAlignment="1" applyFont="1">
      <alignment readingOrder="0"/>
    </xf>
    <xf borderId="0" fillId="0" fontId="11" numFmtId="167" xfId="0" applyAlignment="1" applyFont="1" applyNumberFormat="1">
      <alignment readingOrder="0"/>
    </xf>
    <xf borderId="0" fillId="0" fontId="11" numFmtId="0" xfId="0" applyFont="1"/>
    <xf borderId="0" fillId="0" fontId="11" numFmtId="167" xfId="0" applyFont="1" applyNumberFormat="1"/>
    <xf borderId="0" fillId="0" fontId="3" numFmtId="167" xfId="0" applyFont="1" applyNumberFormat="1"/>
    <xf borderId="0" fillId="4" fontId="11" numFmtId="0" xfId="0" applyAlignment="1" applyFill="1" applyFont="1">
      <alignment readingOrder="0"/>
    </xf>
    <xf borderId="0" fillId="4" fontId="11" numFmtId="0" xfId="0" applyFont="1"/>
    <xf borderId="0" fillId="4" fontId="11" numFmtId="167" xfId="0" applyFont="1" applyNumberFormat="1"/>
    <xf borderId="0" fillId="4" fontId="11" numFmtId="167" xfId="0" applyAlignment="1" applyFont="1" applyNumberFormat="1">
      <alignment readingOrder="0"/>
    </xf>
    <xf borderId="0" fillId="4" fontId="1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3.75"/>
    <col customWidth="1" min="3" max="3" width="8.63"/>
    <col customWidth="1" min="4" max="4" width="15.38"/>
    <col customWidth="1" min="5" max="5" width="8.38"/>
    <col customWidth="1" min="6" max="9" width="8.63"/>
  </cols>
  <sheetData>
    <row r="1">
      <c r="A1" s="1" t="s">
        <v>0</v>
      </c>
      <c r="B1" s="2"/>
      <c r="C1" s="2"/>
      <c r="D1" s="2"/>
      <c r="E1" s="2"/>
      <c r="F1" s="2"/>
      <c r="G1" s="2"/>
      <c r="H1" s="3"/>
      <c r="I1" s="4"/>
    </row>
    <row r="2">
      <c r="A2" s="5" t="s">
        <v>1</v>
      </c>
      <c r="B2" s="2"/>
      <c r="C2" s="2"/>
      <c r="D2" s="2"/>
      <c r="E2" s="2"/>
      <c r="F2" s="2"/>
      <c r="G2" s="2"/>
      <c r="H2" s="3"/>
      <c r="I2" s="4"/>
    </row>
    <row r="3">
      <c r="A3" s="6" t="s">
        <v>2</v>
      </c>
      <c r="B3" s="2"/>
      <c r="C3" s="2"/>
      <c r="D3" s="2"/>
      <c r="E3" s="2"/>
      <c r="F3" s="2"/>
      <c r="G3" s="2"/>
      <c r="H3" s="3"/>
      <c r="I3" s="4"/>
    </row>
    <row r="4">
      <c r="A4" s="7" t="s">
        <v>3</v>
      </c>
      <c r="B4" s="2"/>
      <c r="C4" s="2"/>
      <c r="D4" s="2"/>
      <c r="E4" s="2"/>
      <c r="F4" s="2"/>
      <c r="G4" s="2"/>
      <c r="H4" s="3"/>
      <c r="I4" s="4"/>
    </row>
    <row r="5">
      <c r="A5" s="7" t="s">
        <v>4</v>
      </c>
      <c r="B5" s="2"/>
      <c r="C5" s="2"/>
      <c r="D5" s="2"/>
      <c r="E5" s="2"/>
      <c r="F5" s="2"/>
      <c r="G5" s="2"/>
      <c r="H5" s="3"/>
      <c r="I5" s="4"/>
    </row>
    <row r="6">
      <c r="A6" s="7" t="s">
        <v>5</v>
      </c>
      <c r="B6" s="2"/>
      <c r="C6" s="2"/>
      <c r="D6" s="2"/>
      <c r="E6" s="2"/>
      <c r="F6" s="2"/>
      <c r="G6" s="2"/>
      <c r="H6" s="3"/>
      <c r="I6" s="4"/>
    </row>
    <row r="7">
      <c r="A7" s="7" t="s">
        <v>6</v>
      </c>
      <c r="B7" s="2"/>
      <c r="C7" s="2"/>
      <c r="D7" s="2"/>
      <c r="E7" s="2"/>
      <c r="F7" s="2"/>
      <c r="G7" s="2"/>
      <c r="H7" s="3"/>
      <c r="I7" s="4"/>
    </row>
    <row r="8">
      <c r="A8" s="8" t="s">
        <v>7</v>
      </c>
      <c r="B8" s="9"/>
      <c r="C8" s="9"/>
      <c r="D8" s="9"/>
      <c r="E8" s="9"/>
      <c r="F8" s="9"/>
      <c r="G8" s="9"/>
      <c r="H8" s="10"/>
      <c r="I8" s="4"/>
    </row>
    <row r="9">
      <c r="A9" s="11" t="s">
        <v>8</v>
      </c>
      <c r="B9" s="11" t="s">
        <v>9</v>
      </c>
      <c r="C9" s="11" t="s">
        <v>10</v>
      </c>
      <c r="D9" s="12" t="s">
        <v>11</v>
      </c>
      <c r="E9" s="12" t="s">
        <v>12</v>
      </c>
      <c r="F9" s="12" t="s">
        <v>13</v>
      </c>
      <c r="G9" s="12" t="s">
        <v>14</v>
      </c>
      <c r="H9" s="13" t="s">
        <v>15</v>
      </c>
      <c r="I9" s="4"/>
    </row>
    <row r="10">
      <c r="A10" s="14"/>
      <c r="B10" s="14"/>
      <c r="C10" s="15">
        <v>1.0</v>
      </c>
      <c r="D10" s="16">
        <v>2.0</v>
      </c>
      <c r="E10" s="16">
        <v>3.0</v>
      </c>
      <c r="F10" s="16">
        <v>7.0</v>
      </c>
      <c r="G10" s="17"/>
      <c r="H10" s="18"/>
      <c r="I10" s="4"/>
    </row>
    <row r="11">
      <c r="A11" s="19" t="s">
        <v>16</v>
      </c>
      <c r="B11" s="20"/>
      <c r="C11" s="20"/>
      <c r="D11" s="20"/>
      <c r="E11" s="20"/>
      <c r="F11" s="20"/>
      <c r="G11" s="20"/>
      <c r="H11" s="21"/>
      <c r="I11" s="4"/>
    </row>
    <row r="12">
      <c r="A12" s="22" t="s">
        <v>17</v>
      </c>
      <c r="B12" s="23">
        <v>-3.3</v>
      </c>
      <c r="C12" s="24" t="s">
        <v>18</v>
      </c>
      <c r="D12" s="25" t="s">
        <v>19</v>
      </c>
      <c r="E12" s="25">
        <v>15.12</v>
      </c>
      <c r="F12" s="26">
        <v>0.03862</v>
      </c>
      <c r="G12" s="25">
        <v>26.7</v>
      </c>
      <c r="H12" s="27">
        <f t="shared" ref="H12:H39" si="1">E12+G12</f>
        <v>41.82</v>
      </c>
      <c r="I12" s="28"/>
    </row>
    <row r="13">
      <c r="A13" s="29"/>
      <c r="B13" s="29"/>
      <c r="C13" s="24" t="s">
        <v>20</v>
      </c>
      <c r="D13" s="25" t="s">
        <v>19</v>
      </c>
      <c r="E13" s="25">
        <v>15.12</v>
      </c>
      <c r="F13" s="26">
        <v>0.03862</v>
      </c>
      <c r="G13" s="25">
        <v>26.7</v>
      </c>
      <c r="H13" s="27">
        <f t="shared" si="1"/>
        <v>41.82</v>
      </c>
      <c r="I13" s="28"/>
    </row>
    <row r="14">
      <c r="A14" s="29"/>
      <c r="B14" s="29"/>
      <c r="C14" s="24" t="s">
        <v>21</v>
      </c>
      <c r="D14" s="25" t="s">
        <v>19</v>
      </c>
      <c r="E14" s="25">
        <v>15.12</v>
      </c>
      <c r="F14" s="26">
        <v>0.03862</v>
      </c>
      <c r="G14" s="25">
        <v>26.7</v>
      </c>
      <c r="H14" s="27">
        <f t="shared" si="1"/>
        <v>41.82</v>
      </c>
      <c r="I14" s="28"/>
    </row>
    <row r="15">
      <c r="A15" s="29"/>
      <c r="B15" s="29"/>
      <c r="C15" s="24" t="s">
        <v>22</v>
      </c>
      <c r="D15" s="25" t="s">
        <v>19</v>
      </c>
      <c r="E15" s="25">
        <v>15.12</v>
      </c>
      <c r="F15" s="26">
        <v>0.03862</v>
      </c>
      <c r="G15" s="25">
        <v>26.7</v>
      </c>
      <c r="H15" s="27">
        <f t="shared" si="1"/>
        <v>41.82</v>
      </c>
      <c r="I15" s="28"/>
    </row>
    <row r="16">
      <c r="A16" s="29"/>
      <c r="B16" s="29"/>
      <c r="C16" s="24" t="s">
        <v>23</v>
      </c>
      <c r="D16" s="25" t="s">
        <v>19</v>
      </c>
      <c r="E16" s="25">
        <v>15.12</v>
      </c>
      <c r="F16" s="26">
        <v>0.03862</v>
      </c>
      <c r="G16" s="25">
        <v>26.7</v>
      </c>
      <c r="H16" s="27">
        <f t="shared" si="1"/>
        <v>41.82</v>
      </c>
      <c r="I16" s="28"/>
    </row>
    <row r="17">
      <c r="A17" s="29"/>
      <c r="B17" s="29"/>
      <c r="C17" s="24" t="s">
        <v>24</v>
      </c>
      <c r="D17" s="25" t="s">
        <v>19</v>
      </c>
      <c r="E17" s="25">
        <v>15.12</v>
      </c>
      <c r="F17" s="26">
        <v>0.03862</v>
      </c>
      <c r="G17" s="25">
        <v>26.7</v>
      </c>
      <c r="H17" s="27">
        <f t="shared" si="1"/>
        <v>41.82</v>
      </c>
      <c r="I17" s="28"/>
    </row>
    <row r="18">
      <c r="A18" s="29"/>
      <c r="B18" s="29"/>
      <c r="C18" s="24" t="s">
        <v>25</v>
      </c>
      <c r="D18" s="25" t="s">
        <v>19</v>
      </c>
      <c r="E18" s="25">
        <v>15.12</v>
      </c>
      <c r="F18" s="26">
        <v>0.03862</v>
      </c>
      <c r="G18" s="25">
        <v>26.7</v>
      </c>
      <c r="H18" s="27">
        <f t="shared" si="1"/>
        <v>41.82</v>
      </c>
      <c r="I18" s="28"/>
    </row>
    <row r="19">
      <c r="A19" s="29"/>
      <c r="B19" s="29"/>
      <c r="C19" s="24" t="s">
        <v>26</v>
      </c>
      <c r="D19" s="25" t="s">
        <v>19</v>
      </c>
      <c r="E19" s="25">
        <v>15.12</v>
      </c>
      <c r="F19" s="26">
        <v>0.03862</v>
      </c>
      <c r="G19" s="25">
        <v>26.7</v>
      </c>
      <c r="H19" s="27">
        <f t="shared" si="1"/>
        <v>41.82</v>
      </c>
      <c r="I19" s="28"/>
    </row>
    <row r="20">
      <c r="A20" s="29"/>
      <c r="B20" s="29"/>
      <c r="C20" s="24" t="s">
        <v>27</v>
      </c>
      <c r="D20" s="25" t="s">
        <v>19</v>
      </c>
      <c r="E20" s="25">
        <v>15.12</v>
      </c>
      <c r="F20" s="26">
        <v>0.03862</v>
      </c>
      <c r="G20" s="25">
        <v>26.7</v>
      </c>
      <c r="H20" s="27">
        <f t="shared" si="1"/>
        <v>41.82</v>
      </c>
      <c r="I20" s="28"/>
    </row>
    <row r="21">
      <c r="A21" s="29"/>
      <c r="B21" s="29"/>
      <c r="C21" s="24" t="s">
        <v>28</v>
      </c>
      <c r="D21" s="25" t="s">
        <v>19</v>
      </c>
      <c r="E21" s="25">
        <v>15.12</v>
      </c>
      <c r="F21" s="26">
        <v>0.03862</v>
      </c>
      <c r="G21" s="25">
        <v>26.7</v>
      </c>
      <c r="H21" s="27">
        <f t="shared" si="1"/>
        <v>41.82</v>
      </c>
      <c r="I21" s="28"/>
    </row>
    <row r="22">
      <c r="A22" s="29"/>
      <c r="B22" s="29"/>
      <c r="C22" s="24" t="s">
        <v>29</v>
      </c>
      <c r="D22" s="25" t="s">
        <v>19</v>
      </c>
      <c r="E22" s="25">
        <v>15.12</v>
      </c>
      <c r="F22" s="26">
        <v>0.03862</v>
      </c>
      <c r="G22" s="25">
        <v>26.7</v>
      </c>
      <c r="H22" s="27">
        <f t="shared" si="1"/>
        <v>41.82</v>
      </c>
      <c r="I22" s="28"/>
    </row>
    <row r="23">
      <c r="A23" s="29"/>
      <c r="B23" s="29"/>
      <c r="C23" s="24" t="s">
        <v>30</v>
      </c>
      <c r="D23" s="25" t="s">
        <v>19</v>
      </c>
      <c r="E23" s="25">
        <v>15.12</v>
      </c>
      <c r="F23" s="26">
        <v>0.03862</v>
      </c>
      <c r="G23" s="25">
        <v>26.7</v>
      </c>
      <c r="H23" s="27">
        <f t="shared" si="1"/>
        <v>41.82</v>
      </c>
    </row>
    <row r="24">
      <c r="A24" s="29"/>
      <c r="B24" s="29"/>
      <c r="C24" s="24" t="s">
        <v>31</v>
      </c>
      <c r="D24" s="25" t="s">
        <v>19</v>
      </c>
      <c r="E24" s="25">
        <v>15.12</v>
      </c>
      <c r="F24" s="26">
        <v>0.03862</v>
      </c>
      <c r="G24" s="25">
        <v>26.7</v>
      </c>
      <c r="H24" s="27">
        <f t="shared" si="1"/>
        <v>41.82</v>
      </c>
      <c r="I24" s="30"/>
    </row>
    <row r="25">
      <c r="A25" s="29"/>
      <c r="B25" s="29"/>
      <c r="C25" s="24" t="s">
        <v>32</v>
      </c>
      <c r="D25" s="25" t="s">
        <v>19</v>
      </c>
      <c r="E25" s="25">
        <v>15.12</v>
      </c>
      <c r="F25" s="26">
        <v>0.03862</v>
      </c>
      <c r="G25" s="25">
        <v>26.7</v>
      </c>
      <c r="H25" s="27">
        <f t="shared" si="1"/>
        <v>41.82</v>
      </c>
      <c r="I25" s="28"/>
    </row>
    <row r="26">
      <c r="A26" s="29"/>
      <c r="B26" s="29"/>
      <c r="C26" s="24" t="s">
        <v>33</v>
      </c>
      <c r="D26" s="25" t="s">
        <v>19</v>
      </c>
      <c r="E26" s="25">
        <v>13.91</v>
      </c>
      <c r="F26" s="26">
        <v>0.03553</v>
      </c>
      <c r="G26" s="25">
        <v>24.56</v>
      </c>
      <c r="H26" s="27">
        <f t="shared" si="1"/>
        <v>38.47</v>
      </c>
      <c r="I26" s="4"/>
    </row>
    <row r="27">
      <c r="A27" s="29"/>
      <c r="B27" s="29"/>
      <c r="C27" s="24" t="s">
        <v>34</v>
      </c>
      <c r="D27" s="25" t="s">
        <v>19</v>
      </c>
      <c r="E27" s="25">
        <v>13.5</v>
      </c>
      <c r="F27" s="26">
        <v>0.03449</v>
      </c>
      <c r="G27" s="25">
        <v>23.84</v>
      </c>
      <c r="H27" s="27">
        <f t="shared" si="1"/>
        <v>37.34</v>
      </c>
      <c r="I27" s="28"/>
    </row>
    <row r="28">
      <c r="A28" s="29"/>
      <c r="B28" s="29"/>
      <c r="C28" s="24" t="s">
        <v>35</v>
      </c>
      <c r="D28" s="25" t="s">
        <v>19</v>
      </c>
      <c r="E28" s="25">
        <v>14.33</v>
      </c>
      <c r="F28" s="26">
        <v>0.03661</v>
      </c>
      <c r="G28" s="25">
        <v>25.3</v>
      </c>
      <c r="H28" s="27">
        <f t="shared" si="1"/>
        <v>39.63</v>
      </c>
      <c r="I28" s="28"/>
    </row>
    <row r="29">
      <c r="A29" s="29"/>
      <c r="B29" s="29"/>
      <c r="C29" s="24" t="s">
        <v>36</v>
      </c>
      <c r="D29" s="25" t="s">
        <v>19</v>
      </c>
      <c r="E29" s="25">
        <v>13.91</v>
      </c>
      <c r="F29" s="26">
        <v>0.03553</v>
      </c>
      <c r="G29" s="25">
        <v>24.56</v>
      </c>
      <c r="H29" s="27">
        <f t="shared" si="1"/>
        <v>38.47</v>
      </c>
      <c r="I29" s="28"/>
    </row>
    <row r="30">
      <c r="A30" s="29"/>
      <c r="B30" s="29"/>
      <c r="C30" s="24" t="s">
        <v>37</v>
      </c>
      <c r="D30" s="25" t="s">
        <v>19</v>
      </c>
      <c r="E30" s="25">
        <v>15.12</v>
      </c>
      <c r="F30" s="26">
        <v>0.03862</v>
      </c>
      <c r="G30" s="25">
        <v>26.7</v>
      </c>
      <c r="H30" s="27">
        <f t="shared" si="1"/>
        <v>41.82</v>
      </c>
      <c r="I30" s="28"/>
    </row>
    <row r="31">
      <c r="A31" s="29"/>
      <c r="B31" s="29"/>
      <c r="C31" s="24" t="s">
        <v>38</v>
      </c>
      <c r="D31" s="25" t="s">
        <v>19</v>
      </c>
      <c r="E31" s="25">
        <v>11.88</v>
      </c>
      <c r="F31" s="26">
        <v>0.03035</v>
      </c>
      <c r="G31" s="25">
        <v>20.98</v>
      </c>
      <c r="H31" s="27">
        <f t="shared" si="1"/>
        <v>32.86</v>
      </c>
      <c r="I31" s="28"/>
    </row>
    <row r="32">
      <c r="A32" s="29"/>
      <c r="B32" s="29"/>
      <c r="C32" s="24" t="s">
        <v>39</v>
      </c>
      <c r="D32" s="25" t="s">
        <v>19</v>
      </c>
      <c r="E32" s="25">
        <v>13.12</v>
      </c>
      <c r="F32" s="26">
        <v>0.03351</v>
      </c>
      <c r="G32" s="25">
        <v>23.17</v>
      </c>
      <c r="H32" s="27">
        <f t="shared" si="1"/>
        <v>36.29</v>
      </c>
      <c r="I32" s="28"/>
    </row>
    <row r="33">
      <c r="A33" s="29"/>
      <c r="B33" s="29"/>
      <c r="C33" s="24" t="s">
        <v>40</v>
      </c>
      <c r="D33" s="25" t="s">
        <v>19</v>
      </c>
      <c r="E33" s="25">
        <v>15.12</v>
      </c>
      <c r="F33" s="26">
        <v>0.03862</v>
      </c>
      <c r="G33" s="25">
        <v>26.7</v>
      </c>
      <c r="H33" s="27">
        <f t="shared" si="1"/>
        <v>41.82</v>
      </c>
      <c r="I33" s="28"/>
    </row>
    <row r="34">
      <c r="A34" s="29"/>
      <c r="B34" s="29"/>
      <c r="C34" s="24" t="s">
        <v>41</v>
      </c>
      <c r="D34" s="25" t="s">
        <v>19</v>
      </c>
      <c r="E34" s="25">
        <v>11.88</v>
      </c>
      <c r="F34" s="26">
        <v>0.03035</v>
      </c>
      <c r="G34" s="25">
        <v>20.98</v>
      </c>
      <c r="H34" s="27">
        <f t="shared" si="1"/>
        <v>32.86</v>
      </c>
      <c r="I34" s="28"/>
    </row>
    <row r="35">
      <c r="A35" s="29"/>
      <c r="B35" s="29"/>
      <c r="C35" s="24" t="s">
        <v>42</v>
      </c>
      <c r="D35" s="25" t="s">
        <v>19</v>
      </c>
      <c r="E35" s="25">
        <v>11.66</v>
      </c>
      <c r="F35" s="26">
        <v>0.02979</v>
      </c>
      <c r="G35" s="25">
        <v>20.59</v>
      </c>
      <c r="H35" s="27">
        <f t="shared" si="1"/>
        <v>32.25</v>
      </c>
      <c r="I35" s="28"/>
    </row>
    <row r="36">
      <c r="A36" s="29"/>
      <c r="B36" s="29"/>
      <c r="C36" s="24" t="s">
        <v>43</v>
      </c>
      <c r="D36" s="25" t="s">
        <v>19</v>
      </c>
      <c r="E36" s="25">
        <v>15.12</v>
      </c>
      <c r="F36" s="26">
        <v>0.03862</v>
      </c>
      <c r="G36" s="25">
        <v>26.7</v>
      </c>
      <c r="H36" s="27">
        <f t="shared" si="1"/>
        <v>41.82</v>
      </c>
      <c r="I36" s="28"/>
    </row>
    <row r="37">
      <c r="A37" s="29"/>
      <c r="B37" s="29"/>
      <c r="C37" s="24" t="s">
        <v>44</v>
      </c>
      <c r="D37" s="25" t="s">
        <v>19</v>
      </c>
      <c r="E37" s="25">
        <v>15.12</v>
      </c>
      <c r="F37" s="26">
        <v>0.03862</v>
      </c>
      <c r="G37" s="25">
        <v>26.7</v>
      </c>
      <c r="H37" s="27">
        <f t="shared" si="1"/>
        <v>41.82</v>
      </c>
      <c r="I37" s="28"/>
    </row>
    <row r="38">
      <c r="A38" s="31"/>
      <c r="B38" s="31"/>
      <c r="C38" s="24" t="s">
        <v>45</v>
      </c>
      <c r="D38" s="25" t="s">
        <v>19</v>
      </c>
      <c r="E38" s="25">
        <v>15.12</v>
      </c>
      <c r="F38" s="26">
        <v>0.03862</v>
      </c>
      <c r="G38" s="25">
        <v>26.7</v>
      </c>
      <c r="H38" s="27">
        <f t="shared" si="1"/>
        <v>41.82</v>
      </c>
      <c r="I38" s="28"/>
    </row>
    <row r="39">
      <c r="A39" s="32" t="s">
        <v>46</v>
      </c>
      <c r="B39" s="20"/>
      <c r="C39" s="20"/>
      <c r="D39" s="33"/>
      <c r="E39" s="25">
        <f t="shared" ref="E39:G39" si="2">SUM(E12:E38)</f>
        <v>391.47</v>
      </c>
      <c r="F39" s="34">
        <f t="shared" si="2"/>
        <v>0.99994</v>
      </c>
      <c r="G39" s="25">
        <f t="shared" si="2"/>
        <v>691.28</v>
      </c>
      <c r="H39" s="27">
        <f t="shared" si="1"/>
        <v>1082.75</v>
      </c>
      <c r="I39" s="35"/>
    </row>
    <row r="40">
      <c r="A40" s="36" t="s">
        <v>47</v>
      </c>
      <c r="B40" s="37"/>
      <c r="C40" s="37"/>
      <c r="D40" s="38"/>
      <c r="E40" s="38"/>
      <c r="F40" s="38"/>
      <c r="G40" s="38"/>
      <c r="H40" s="39"/>
      <c r="I40" s="4"/>
    </row>
    <row r="41">
      <c r="A41" s="22" t="s">
        <v>17</v>
      </c>
      <c r="B41" s="23">
        <v>-3.3</v>
      </c>
      <c r="C41" s="24" t="s">
        <v>18</v>
      </c>
      <c r="D41" s="25" t="s">
        <v>19</v>
      </c>
      <c r="E41" s="25">
        <v>15.12</v>
      </c>
      <c r="F41" s="26">
        <v>0.05141</v>
      </c>
      <c r="G41" s="25">
        <v>26.7</v>
      </c>
      <c r="H41" s="27">
        <f t="shared" ref="H41:H61" si="3">E41+G41</f>
        <v>41.82</v>
      </c>
      <c r="I41" s="28"/>
    </row>
    <row r="42">
      <c r="A42" s="29"/>
      <c r="B42" s="29"/>
      <c r="C42" s="24" t="s">
        <v>20</v>
      </c>
      <c r="D42" s="25" t="s">
        <v>19</v>
      </c>
      <c r="E42" s="25">
        <v>15.12</v>
      </c>
      <c r="F42" s="26">
        <v>0.05141</v>
      </c>
      <c r="G42" s="25">
        <v>26.7</v>
      </c>
      <c r="H42" s="27">
        <f t="shared" si="3"/>
        <v>41.82</v>
      </c>
      <c r="I42" s="28"/>
    </row>
    <row r="43">
      <c r="A43" s="29"/>
      <c r="B43" s="29"/>
      <c r="C43" s="24" t="s">
        <v>21</v>
      </c>
      <c r="D43" s="25" t="s">
        <v>19</v>
      </c>
      <c r="E43" s="25">
        <v>15.12</v>
      </c>
      <c r="F43" s="26">
        <v>0.05141</v>
      </c>
      <c r="G43" s="25">
        <v>26.7</v>
      </c>
      <c r="H43" s="27">
        <f t="shared" si="3"/>
        <v>41.82</v>
      </c>
      <c r="I43" s="28"/>
    </row>
    <row r="44">
      <c r="A44" s="29"/>
      <c r="B44" s="29"/>
      <c r="C44" s="24" t="s">
        <v>22</v>
      </c>
      <c r="D44" s="25" t="s">
        <v>19</v>
      </c>
      <c r="E44" s="25">
        <v>15.12</v>
      </c>
      <c r="F44" s="26">
        <v>0.05141</v>
      </c>
      <c r="G44" s="25">
        <v>26.7</v>
      </c>
      <c r="H44" s="27">
        <f t="shared" si="3"/>
        <v>41.82</v>
      </c>
      <c r="I44" s="28"/>
    </row>
    <row r="45">
      <c r="A45" s="29"/>
      <c r="B45" s="29"/>
      <c r="C45" s="24" t="s">
        <v>23</v>
      </c>
      <c r="D45" s="25" t="s">
        <v>19</v>
      </c>
      <c r="E45" s="25">
        <v>15.12</v>
      </c>
      <c r="F45" s="26">
        <v>0.05141</v>
      </c>
      <c r="G45" s="25">
        <v>26.7</v>
      </c>
      <c r="H45" s="27">
        <f t="shared" si="3"/>
        <v>41.82</v>
      </c>
      <c r="I45" s="28"/>
    </row>
    <row r="46">
      <c r="A46" s="29"/>
      <c r="B46" s="29"/>
      <c r="C46" s="24" t="s">
        <v>48</v>
      </c>
      <c r="D46" s="25" t="s">
        <v>19</v>
      </c>
      <c r="E46" s="25">
        <v>15.12</v>
      </c>
      <c r="F46" s="26">
        <v>0.05141</v>
      </c>
      <c r="G46" s="25">
        <v>26.7</v>
      </c>
      <c r="H46" s="27">
        <f t="shared" si="3"/>
        <v>41.82</v>
      </c>
      <c r="I46" s="28"/>
    </row>
    <row r="47">
      <c r="A47" s="29"/>
      <c r="B47" s="29"/>
      <c r="C47" s="24" t="s">
        <v>49</v>
      </c>
      <c r="D47" s="25" t="s">
        <v>19</v>
      </c>
      <c r="E47" s="25">
        <v>15.12</v>
      </c>
      <c r="F47" s="26">
        <v>0.05141</v>
      </c>
      <c r="G47" s="25">
        <v>26.7</v>
      </c>
      <c r="H47" s="27">
        <f t="shared" si="3"/>
        <v>41.82</v>
      </c>
      <c r="I47" s="28"/>
    </row>
    <row r="48">
      <c r="A48" s="29"/>
      <c r="B48" s="29"/>
      <c r="C48" s="24" t="s">
        <v>50</v>
      </c>
      <c r="D48" s="25" t="s">
        <v>19</v>
      </c>
      <c r="E48" s="25">
        <v>12.71</v>
      </c>
      <c r="F48" s="26">
        <v>0.04321</v>
      </c>
      <c r="G48" s="25">
        <v>22.42</v>
      </c>
      <c r="H48" s="27">
        <f t="shared" si="3"/>
        <v>35.13</v>
      </c>
      <c r="I48" s="28"/>
    </row>
    <row r="49">
      <c r="A49" s="29"/>
      <c r="B49" s="29"/>
      <c r="C49" s="24" t="s">
        <v>51</v>
      </c>
      <c r="D49" s="25" t="s">
        <v>19</v>
      </c>
      <c r="E49" s="25">
        <v>11.67</v>
      </c>
      <c r="F49" s="26">
        <v>0.03968</v>
      </c>
      <c r="G49" s="25">
        <v>20.61</v>
      </c>
      <c r="H49" s="27">
        <f t="shared" si="3"/>
        <v>32.28</v>
      </c>
      <c r="I49" s="28"/>
    </row>
    <row r="50">
      <c r="A50" s="29"/>
      <c r="B50" s="29"/>
      <c r="C50" s="24" t="s">
        <v>52</v>
      </c>
      <c r="D50" s="25" t="s">
        <v>19</v>
      </c>
      <c r="E50" s="25">
        <v>12.71</v>
      </c>
      <c r="F50" s="26">
        <v>0.04321</v>
      </c>
      <c r="G50" s="25">
        <v>22.42</v>
      </c>
      <c r="H50" s="27">
        <f t="shared" si="3"/>
        <v>35.13</v>
      </c>
      <c r="I50" s="28"/>
    </row>
    <row r="51">
      <c r="A51" s="29"/>
      <c r="B51" s="29"/>
      <c r="C51" s="24" t="s">
        <v>53</v>
      </c>
      <c r="D51" s="25" t="s">
        <v>19</v>
      </c>
      <c r="E51" s="25">
        <v>15.12</v>
      </c>
      <c r="F51" s="26">
        <v>0.05141</v>
      </c>
      <c r="G51" s="25">
        <v>26.7</v>
      </c>
      <c r="H51" s="27">
        <f t="shared" si="3"/>
        <v>41.82</v>
      </c>
      <c r="I51" s="28"/>
    </row>
    <row r="52">
      <c r="A52" s="29"/>
      <c r="B52" s="29"/>
      <c r="C52" s="24" t="s">
        <v>27</v>
      </c>
      <c r="D52" s="25" t="s">
        <v>19</v>
      </c>
      <c r="E52" s="25">
        <v>15.12</v>
      </c>
      <c r="F52" s="26">
        <v>0.05141</v>
      </c>
      <c r="G52" s="25">
        <v>26.7</v>
      </c>
      <c r="H52" s="27">
        <f t="shared" si="3"/>
        <v>41.82</v>
      </c>
      <c r="I52" s="28"/>
    </row>
    <row r="53">
      <c r="A53" s="29"/>
      <c r="B53" s="29"/>
      <c r="C53" s="24" t="s">
        <v>28</v>
      </c>
      <c r="D53" s="25" t="s">
        <v>19</v>
      </c>
      <c r="E53" s="25">
        <v>15.12</v>
      </c>
      <c r="F53" s="26">
        <v>0.05141</v>
      </c>
      <c r="G53" s="25">
        <v>26.7</v>
      </c>
      <c r="H53" s="27">
        <f t="shared" si="3"/>
        <v>41.82</v>
      </c>
      <c r="I53" s="28"/>
    </row>
    <row r="54">
      <c r="A54" s="29"/>
      <c r="B54" s="29"/>
      <c r="C54" s="24" t="s">
        <v>29</v>
      </c>
      <c r="D54" s="25" t="s">
        <v>19</v>
      </c>
      <c r="E54" s="25">
        <v>15.12</v>
      </c>
      <c r="F54" s="26">
        <v>0.05141</v>
      </c>
      <c r="G54" s="25">
        <v>26.7</v>
      </c>
      <c r="H54" s="27">
        <f t="shared" si="3"/>
        <v>41.82</v>
      </c>
      <c r="I54" s="28"/>
    </row>
    <row r="55">
      <c r="A55" s="29"/>
      <c r="B55" s="29"/>
      <c r="C55" s="24" t="s">
        <v>30</v>
      </c>
      <c r="D55" s="25" t="s">
        <v>19</v>
      </c>
      <c r="E55" s="25">
        <v>15.12</v>
      </c>
      <c r="F55" s="26">
        <v>0.05141</v>
      </c>
      <c r="G55" s="25">
        <v>26.7</v>
      </c>
      <c r="H55" s="27">
        <f t="shared" si="3"/>
        <v>41.82</v>
      </c>
      <c r="I55" s="28"/>
    </row>
    <row r="56">
      <c r="A56" s="29"/>
      <c r="B56" s="29"/>
      <c r="C56" s="24" t="s">
        <v>31</v>
      </c>
      <c r="D56" s="25" t="s">
        <v>19</v>
      </c>
      <c r="E56" s="25">
        <v>15.12</v>
      </c>
      <c r="F56" s="26">
        <v>0.05141</v>
      </c>
      <c r="G56" s="25">
        <v>26.7</v>
      </c>
      <c r="H56" s="27">
        <f t="shared" si="3"/>
        <v>41.82</v>
      </c>
      <c r="I56" s="28"/>
    </row>
    <row r="57">
      <c r="A57" s="29"/>
      <c r="B57" s="29"/>
      <c r="C57" s="24" t="s">
        <v>32</v>
      </c>
      <c r="D57" s="25" t="s">
        <v>19</v>
      </c>
      <c r="E57" s="25">
        <v>15.12</v>
      </c>
      <c r="F57" s="26">
        <v>0.05141</v>
      </c>
      <c r="G57" s="25">
        <v>26.7</v>
      </c>
      <c r="H57" s="27">
        <f t="shared" si="3"/>
        <v>41.82</v>
      </c>
      <c r="I57" s="28"/>
    </row>
    <row r="58">
      <c r="A58" s="29"/>
      <c r="B58" s="29"/>
      <c r="C58" s="24" t="s">
        <v>33</v>
      </c>
      <c r="D58" s="25" t="s">
        <v>19</v>
      </c>
      <c r="E58" s="25">
        <v>15.12</v>
      </c>
      <c r="F58" s="26">
        <v>0.05141</v>
      </c>
      <c r="G58" s="25">
        <v>26.7</v>
      </c>
      <c r="H58" s="27">
        <f t="shared" si="3"/>
        <v>41.82</v>
      </c>
      <c r="I58" s="28"/>
    </row>
    <row r="59">
      <c r="A59" s="29"/>
      <c r="B59" s="29"/>
      <c r="C59" s="24" t="s">
        <v>54</v>
      </c>
      <c r="D59" s="25" t="s">
        <v>19</v>
      </c>
      <c r="E59" s="25">
        <v>15.12</v>
      </c>
      <c r="F59" s="26">
        <v>0.05141</v>
      </c>
      <c r="G59" s="25">
        <v>26.7</v>
      </c>
      <c r="H59" s="27">
        <f t="shared" si="3"/>
        <v>41.82</v>
      </c>
      <c r="I59" s="28"/>
    </row>
    <row r="60">
      <c r="A60" s="31"/>
      <c r="B60" s="31"/>
      <c r="C60" s="24" t="s">
        <v>55</v>
      </c>
      <c r="D60" s="25" t="s">
        <v>19</v>
      </c>
      <c r="E60" s="25">
        <v>15.12</v>
      </c>
      <c r="F60" s="26">
        <v>0.05141</v>
      </c>
      <c r="G60" s="25">
        <v>26.7</v>
      </c>
      <c r="H60" s="27">
        <f t="shared" si="3"/>
        <v>41.82</v>
      </c>
      <c r="I60" s="28"/>
    </row>
    <row r="61">
      <c r="A61" s="32" t="s">
        <v>56</v>
      </c>
      <c r="B61" s="20"/>
      <c r="C61" s="20"/>
      <c r="D61" s="33"/>
      <c r="E61" s="25">
        <f t="shared" ref="E61:G61" si="4">SUM(E41:E60)</f>
        <v>294.13</v>
      </c>
      <c r="F61" s="34">
        <f t="shared" si="4"/>
        <v>1.00007</v>
      </c>
      <c r="G61" s="25">
        <f t="shared" si="4"/>
        <v>519.35</v>
      </c>
      <c r="H61" s="27">
        <f t="shared" si="3"/>
        <v>813.48</v>
      </c>
      <c r="I61" s="28"/>
    </row>
    <row r="62">
      <c r="A62" s="36" t="s">
        <v>57</v>
      </c>
      <c r="B62" s="37"/>
      <c r="C62" s="37"/>
      <c r="D62" s="38"/>
      <c r="E62" s="38"/>
      <c r="F62" s="38"/>
      <c r="G62" s="38"/>
      <c r="H62" s="39"/>
      <c r="I62" s="4"/>
    </row>
    <row r="63">
      <c r="A63" s="22" t="s">
        <v>17</v>
      </c>
      <c r="B63" s="23">
        <v>-3.3</v>
      </c>
      <c r="C63" s="24" t="s">
        <v>18</v>
      </c>
      <c r="D63" s="25" t="s">
        <v>19</v>
      </c>
      <c r="E63" s="25">
        <v>15.12</v>
      </c>
      <c r="F63" s="26">
        <v>0.03897</v>
      </c>
      <c r="G63" s="25">
        <v>26.7</v>
      </c>
      <c r="H63" s="27">
        <f t="shared" ref="H63:H93" si="5">E63+G63</f>
        <v>41.82</v>
      </c>
      <c r="I63" s="28"/>
    </row>
    <row r="64">
      <c r="A64" s="29"/>
      <c r="B64" s="29"/>
      <c r="C64" s="24" t="s">
        <v>20</v>
      </c>
      <c r="D64" s="25" t="s">
        <v>19</v>
      </c>
      <c r="E64" s="25">
        <v>15.12</v>
      </c>
      <c r="F64" s="26">
        <v>0.03897</v>
      </c>
      <c r="G64" s="25">
        <v>26.7</v>
      </c>
      <c r="H64" s="27">
        <f t="shared" si="5"/>
        <v>41.82</v>
      </c>
      <c r="I64" s="28"/>
    </row>
    <row r="65">
      <c r="A65" s="29"/>
      <c r="B65" s="29"/>
      <c r="C65" s="24" t="s">
        <v>21</v>
      </c>
      <c r="D65" s="25" t="s">
        <v>19</v>
      </c>
      <c r="E65" s="25">
        <v>15.12</v>
      </c>
      <c r="F65" s="26">
        <v>0.03897</v>
      </c>
      <c r="G65" s="25">
        <v>26.7</v>
      </c>
      <c r="H65" s="27">
        <f t="shared" si="5"/>
        <v>41.82</v>
      </c>
      <c r="I65" s="28"/>
    </row>
    <row r="66">
      <c r="A66" s="29"/>
      <c r="B66" s="29"/>
      <c r="C66" s="24" t="s">
        <v>22</v>
      </c>
      <c r="D66" s="25" t="s">
        <v>19</v>
      </c>
      <c r="E66" s="25">
        <v>15.12</v>
      </c>
      <c r="F66" s="26">
        <v>0.03897</v>
      </c>
      <c r="G66" s="25">
        <v>26.7</v>
      </c>
      <c r="H66" s="27">
        <f t="shared" si="5"/>
        <v>41.82</v>
      </c>
      <c r="I66" s="28"/>
    </row>
    <row r="67">
      <c r="A67" s="29"/>
      <c r="B67" s="29"/>
      <c r="C67" s="24" t="s">
        <v>23</v>
      </c>
      <c r="D67" s="25" t="s">
        <v>19</v>
      </c>
      <c r="E67" s="25">
        <v>15.12</v>
      </c>
      <c r="F67" s="26">
        <v>0.03897</v>
      </c>
      <c r="G67" s="25">
        <v>26.7</v>
      </c>
      <c r="H67" s="27">
        <f t="shared" si="5"/>
        <v>41.82</v>
      </c>
      <c r="I67" s="28"/>
    </row>
    <row r="68">
      <c r="A68" s="29"/>
      <c r="B68" s="29"/>
      <c r="C68" s="24" t="s">
        <v>24</v>
      </c>
      <c r="D68" s="25" t="s">
        <v>19</v>
      </c>
      <c r="E68" s="25">
        <v>15.12</v>
      </c>
      <c r="F68" s="26">
        <v>0.03897</v>
      </c>
      <c r="G68" s="25">
        <v>26.7</v>
      </c>
      <c r="H68" s="27">
        <f t="shared" si="5"/>
        <v>41.82</v>
      </c>
      <c r="I68" s="28"/>
    </row>
    <row r="69">
      <c r="A69" s="29"/>
      <c r="B69" s="29"/>
      <c r="C69" s="24" t="s">
        <v>25</v>
      </c>
      <c r="D69" s="25" t="s">
        <v>19</v>
      </c>
      <c r="E69" s="25">
        <v>15.12</v>
      </c>
      <c r="F69" s="26">
        <v>0.03897</v>
      </c>
      <c r="G69" s="25">
        <v>26.7</v>
      </c>
      <c r="H69" s="27">
        <f t="shared" si="5"/>
        <v>41.82</v>
      </c>
      <c r="I69" s="28"/>
    </row>
    <row r="70">
      <c r="A70" s="29"/>
      <c r="B70" s="29"/>
      <c r="C70" s="24" t="s">
        <v>52</v>
      </c>
      <c r="D70" s="25" t="s">
        <v>19</v>
      </c>
      <c r="E70" s="25">
        <v>15.12</v>
      </c>
      <c r="F70" s="26">
        <v>0.03897</v>
      </c>
      <c r="G70" s="25">
        <v>26.7</v>
      </c>
      <c r="H70" s="27">
        <f t="shared" si="5"/>
        <v>41.82</v>
      </c>
      <c r="I70" s="28"/>
    </row>
    <row r="71">
      <c r="A71" s="29"/>
      <c r="B71" s="29"/>
      <c r="C71" s="24" t="s">
        <v>53</v>
      </c>
      <c r="D71" s="25" t="s">
        <v>19</v>
      </c>
      <c r="E71" s="25">
        <v>15.12</v>
      </c>
      <c r="F71" s="26">
        <v>0.03897</v>
      </c>
      <c r="G71" s="25">
        <v>26.7</v>
      </c>
      <c r="H71" s="27">
        <f t="shared" si="5"/>
        <v>41.82</v>
      </c>
      <c r="I71" s="28"/>
    </row>
    <row r="72">
      <c r="A72" s="29"/>
      <c r="B72" s="29"/>
      <c r="C72" s="24" t="s">
        <v>58</v>
      </c>
      <c r="D72" s="25" t="s">
        <v>19</v>
      </c>
      <c r="E72" s="25">
        <v>15.12</v>
      </c>
      <c r="F72" s="26">
        <v>0.03897</v>
      </c>
      <c r="G72" s="25">
        <v>26.7</v>
      </c>
      <c r="H72" s="27">
        <f t="shared" si="5"/>
        <v>41.82</v>
      </c>
      <c r="I72" s="28"/>
    </row>
    <row r="73">
      <c r="A73" s="29"/>
      <c r="B73" s="29"/>
      <c r="C73" s="24" t="s">
        <v>59</v>
      </c>
      <c r="D73" s="25" t="s">
        <v>19</v>
      </c>
      <c r="E73" s="25">
        <v>8.78</v>
      </c>
      <c r="F73" s="26">
        <v>0.02263</v>
      </c>
      <c r="G73" s="25">
        <v>15.5</v>
      </c>
      <c r="H73" s="27">
        <f t="shared" si="5"/>
        <v>24.28</v>
      </c>
      <c r="I73" s="28"/>
    </row>
    <row r="74">
      <c r="A74" s="29"/>
      <c r="B74" s="29"/>
      <c r="C74" s="24" t="s">
        <v>60</v>
      </c>
      <c r="D74" s="25" t="s">
        <v>19</v>
      </c>
      <c r="E74" s="25">
        <v>8.78</v>
      </c>
      <c r="F74" s="26">
        <v>0.02263</v>
      </c>
      <c r="G74" s="25">
        <v>15.5</v>
      </c>
      <c r="H74" s="27">
        <f t="shared" si="5"/>
        <v>24.28</v>
      </c>
      <c r="I74" s="28"/>
    </row>
    <row r="75">
      <c r="A75" s="29"/>
      <c r="B75" s="29"/>
      <c r="C75" s="24" t="s">
        <v>61</v>
      </c>
      <c r="D75" s="25" t="s">
        <v>19</v>
      </c>
      <c r="E75" s="25">
        <v>10.54</v>
      </c>
      <c r="F75" s="26">
        <v>0.02717</v>
      </c>
      <c r="G75" s="25">
        <v>18.61</v>
      </c>
      <c r="H75" s="27">
        <f t="shared" si="5"/>
        <v>29.15</v>
      </c>
      <c r="I75" s="28"/>
    </row>
    <row r="76">
      <c r="A76" s="29"/>
      <c r="B76" s="29"/>
      <c r="C76" s="24" t="s">
        <v>62</v>
      </c>
      <c r="D76" s="25" t="s">
        <v>19</v>
      </c>
      <c r="E76" s="25">
        <v>10.54</v>
      </c>
      <c r="F76" s="26">
        <v>0.02717</v>
      </c>
      <c r="G76" s="25">
        <v>18.61</v>
      </c>
      <c r="H76" s="27">
        <f t="shared" si="5"/>
        <v>29.15</v>
      </c>
      <c r="I76" s="28"/>
    </row>
    <row r="77">
      <c r="A77" s="29"/>
      <c r="B77" s="29"/>
      <c r="C77" s="24" t="s">
        <v>63</v>
      </c>
      <c r="D77" s="25" t="s">
        <v>19</v>
      </c>
      <c r="E77" s="25">
        <v>14.02</v>
      </c>
      <c r="F77" s="26">
        <v>0.03614</v>
      </c>
      <c r="G77" s="25">
        <v>24.76</v>
      </c>
      <c r="H77" s="27">
        <f t="shared" si="5"/>
        <v>38.78</v>
      </c>
      <c r="I77" s="28"/>
    </row>
    <row r="78">
      <c r="A78" s="29"/>
      <c r="B78" s="29"/>
      <c r="C78" s="24" t="s">
        <v>64</v>
      </c>
      <c r="D78" s="25" t="s">
        <v>19</v>
      </c>
      <c r="E78" s="25">
        <v>15.85</v>
      </c>
      <c r="F78" s="26">
        <v>0.04086</v>
      </c>
      <c r="G78" s="25">
        <v>27.99</v>
      </c>
      <c r="H78" s="27">
        <f t="shared" si="5"/>
        <v>43.84</v>
      </c>
      <c r="I78" s="28"/>
    </row>
    <row r="79">
      <c r="A79" s="29"/>
      <c r="B79" s="29"/>
      <c r="C79" s="24" t="s">
        <v>65</v>
      </c>
      <c r="D79" s="25" t="s">
        <v>19</v>
      </c>
      <c r="E79" s="25">
        <v>15.12</v>
      </c>
      <c r="F79" s="26">
        <v>0.03897</v>
      </c>
      <c r="G79" s="25">
        <v>26.7</v>
      </c>
      <c r="H79" s="27">
        <f t="shared" si="5"/>
        <v>41.82</v>
      </c>
      <c r="I79" s="28"/>
    </row>
    <row r="80">
      <c r="A80" s="29"/>
      <c r="B80" s="29"/>
      <c r="C80" s="24" t="s">
        <v>66</v>
      </c>
      <c r="D80" s="25" t="s">
        <v>19</v>
      </c>
      <c r="E80" s="25">
        <v>15.12</v>
      </c>
      <c r="F80" s="26">
        <v>0.03897</v>
      </c>
      <c r="G80" s="25">
        <v>26.7</v>
      </c>
      <c r="H80" s="27">
        <f t="shared" si="5"/>
        <v>41.82</v>
      </c>
      <c r="I80" s="28"/>
    </row>
    <row r="81">
      <c r="A81" s="29"/>
      <c r="B81" s="29"/>
      <c r="C81" s="24" t="s">
        <v>67</v>
      </c>
      <c r="D81" s="25" t="s">
        <v>19</v>
      </c>
      <c r="E81" s="25">
        <v>8.78</v>
      </c>
      <c r="F81" s="26">
        <v>0.02263</v>
      </c>
      <c r="G81" s="25">
        <v>15.5</v>
      </c>
      <c r="H81" s="27">
        <f t="shared" si="5"/>
        <v>24.28</v>
      </c>
      <c r="I81" s="28"/>
    </row>
    <row r="82">
      <c r="A82" s="29"/>
      <c r="B82" s="29"/>
      <c r="C82" s="24" t="s">
        <v>68</v>
      </c>
      <c r="D82" s="25" t="s">
        <v>19</v>
      </c>
      <c r="E82" s="25">
        <v>8.78</v>
      </c>
      <c r="F82" s="26">
        <v>0.02263</v>
      </c>
      <c r="G82" s="25">
        <v>15.5</v>
      </c>
      <c r="H82" s="27">
        <f t="shared" si="5"/>
        <v>24.28</v>
      </c>
      <c r="I82" s="28"/>
    </row>
    <row r="83">
      <c r="A83" s="29"/>
      <c r="B83" s="29"/>
      <c r="C83" s="24" t="s">
        <v>69</v>
      </c>
      <c r="D83" s="25" t="s">
        <v>19</v>
      </c>
      <c r="E83" s="25">
        <v>8.78</v>
      </c>
      <c r="F83" s="26">
        <v>0.02263</v>
      </c>
      <c r="G83" s="25">
        <v>15.5</v>
      </c>
      <c r="H83" s="27">
        <f t="shared" si="5"/>
        <v>24.28</v>
      </c>
      <c r="I83" s="28"/>
    </row>
    <row r="84">
      <c r="A84" s="29"/>
      <c r="B84" s="29"/>
      <c r="C84" s="24" t="s">
        <v>54</v>
      </c>
      <c r="D84" s="25" t="s">
        <v>19</v>
      </c>
      <c r="E84" s="25">
        <v>12.32</v>
      </c>
      <c r="F84" s="26">
        <v>0.03176</v>
      </c>
      <c r="G84" s="25">
        <v>21.75</v>
      </c>
      <c r="H84" s="27">
        <f t="shared" si="5"/>
        <v>34.07</v>
      </c>
      <c r="I84" s="28"/>
    </row>
    <row r="85">
      <c r="A85" s="29"/>
      <c r="B85" s="29"/>
      <c r="C85" s="24" t="s">
        <v>70</v>
      </c>
      <c r="D85" s="25" t="s">
        <v>19</v>
      </c>
      <c r="E85" s="25">
        <v>15.12</v>
      </c>
      <c r="F85" s="26">
        <v>0.03897</v>
      </c>
      <c r="G85" s="25">
        <v>26.7</v>
      </c>
      <c r="H85" s="27">
        <f t="shared" si="5"/>
        <v>41.82</v>
      </c>
      <c r="I85" s="28"/>
    </row>
    <row r="86">
      <c r="A86" s="29"/>
      <c r="B86" s="29"/>
      <c r="C86" s="24" t="s">
        <v>71</v>
      </c>
      <c r="D86" s="25" t="s">
        <v>19</v>
      </c>
      <c r="E86" s="25">
        <v>12.32</v>
      </c>
      <c r="F86" s="26">
        <v>0.03176</v>
      </c>
      <c r="G86" s="25">
        <v>21.75</v>
      </c>
      <c r="H86" s="27">
        <f t="shared" si="5"/>
        <v>34.07</v>
      </c>
      <c r="I86" s="28"/>
    </row>
    <row r="87">
      <c r="A87" s="29"/>
      <c r="B87" s="29"/>
      <c r="C87" s="24" t="s">
        <v>36</v>
      </c>
      <c r="D87" s="25" t="s">
        <v>19</v>
      </c>
      <c r="E87" s="25">
        <v>15.12</v>
      </c>
      <c r="F87" s="26">
        <v>0.03897</v>
      </c>
      <c r="G87" s="25">
        <v>26.7</v>
      </c>
      <c r="H87" s="27">
        <f t="shared" si="5"/>
        <v>41.82</v>
      </c>
      <c r="I87" s="28"/>
    </row>
    <row r="88">
      <c r="A88" s="29"/>
      <c r="B88" s="29"/>
      <c r="C88" s="24" t="s">
        <v>72</v>
      </c>
      <c r="D88" s="25" t="s">
        <v>19</v>
      </c>
      <c r="E88" s="25">
        <v>11.48</v>
      </c>
      <c r="F88" s="26">
        <v>0.02959</v>
      </c>
      <c r="G88" s="25">
        <v>20.27</v>
      </c>
      <c r="H88" s="27">
        <f t="shared" si="5"/>
        <v>31.75</v>
      </c>
      <c r="I88" s="28"/>
    </row>
    <row r="89">
      <c r="A89" s="29"/>
      <c r="B89" s="29"/>
      <c r="C89" s="24" t="s">
        <v>73</v>
      </c>
      <c r="D89" s="25" t="s">
        <v>19</v>
      </c>
      <c r="E89" s="25">
        <v>13.94</v>
      </c>
      <c r="F89" s="26">
        <v>0.03593</v>
      </c>
      <c r="G89" s="25">
        <v>24.62</v>
      </c>
      <c r="H89" s="27">
        <f t="shared" si="5"/>
        <v>38.56</v>
      </c>
      <c r="I89" s="28"/>
    </row>
    <row r="90">
      <c r="A90" s="29"/>
      <c r="B90" s="29"/>
      <c r="C90" s="24" t="s">
        <v>74</v>
      </c>
      <c r="D90" s="25" t="s">
        <v>19</v>
      </c>
      <c r="E90" s="25">
        <v>16.24</v>
      </c>
      <c r="F90" s="26">
        <v>0.04186</v>
      </c>
      <c r="G90" s="25">
        <v>28.68</v>
      </c>
      <c r="H90" s="27">
        <f t="shared" si="5"/>
        <v>44.92</v>
      </c>
      <c r="I90" s="28"/>
    </row>
    <row r="91">
      <c r="A91" s="31"/>
      <c r="B91" s="31"/>
      <c r="C91" s="24" t="s">
        <v>75</v>
      </c>
      <c r="D91" s="25" t="s">
        <v>19</v>
      </c>
      <c r="E91" s="25">
        <v>15.12</v>
      </c>
      <c r="F91" s="26">
        <v>0.03897</v>
      </c>
      <c r="G91" s="25">
        <v>26.7</v>
      </c>
      <c r="H91" s="27">
        <f t="shared" si="5"/>
        <v>41.82</v>
      </c>
      <c r="I91" s="28"/>
    </row>
    <row r="92">
      <c r="A92" s="40" t="s">
        <v>76</v>
      </c>
      <c r="B92" s="41"/>
      <c r="C92" s="41"/>
      <c r="D92" s="42"/>
      <c r="E92" s="43">
        <f t="shared" ref="E92:G92" si="6">SUM(E63:E91)</f>
        <v>387.95</v>
      </c>
      <c r="F92" s="44">
        <f t="shared" si="6"/>
        <v>0.99994</v>
      </c>
      <c r="G92" s="43">
        <f t="shared" si="6"/>
        <v>685.04</v>
      </c>
      <c r="H92" s="45">
        <f t="shared" si="5"/>
        <v>1072.99</v>
      </c>
      <c r="I92" s="28"/>
    </row>
    <row r="93">
      <c r="A93" s="46" t="s">
        <v>77</v>
      </c>
      <c r="B93" s="47"/>
      <c r="C93" s="47"/>
      <c r="D93" s="48"/>
      <c r="E93" s="49">
        <f>SUM(E39,E61,E92)</f>
        <v>1073.55</v>
      </c>
      <c r="F93" s="50">
        <f>sum(F39,F61,F92) / 3</f>
        <v>0.9999833333</v>
      </c>
      <c r="G93" s="49">
        <f>SUM(G39,G61,G92)</f>
        <v>1895.67</v>
      </c>
      <c r="H93" s="49">
        <f t="shared" si="5"/>
        <v>2969.22</v>
      </c>
      <c r="I93" s="51"/>
    </row>
    <row r="94">
      <c r="A94" s="52" t="s">
        <v>78</v>
      </c>
      <c r="B94" s="53"/>
      <c r="C94" s="53"/>
      <c r="D94" s="54"/>
      <c r="E94" s="54"/>
      <c r="F94" s="54"/>
      <c r="G94" s="54"/>
      <c r="H94" s="55"/>
      <c r="I94" s="4"/>
    </row>
    <row r="95">
      <c r="A95" s="22" t="s">
        <v>79</v>
      </c>
      <c r="B95" s="23">
        <v>0.0</v>
      </c>
      <c r="C95" s="24" t="s">
        <v>80</v>
      </c>
      <c r="D95" s="56" t="s">
        <v>81</v>
      </c>
      <c r="E95" s="25">
        <v>19.98</v>
      </c>
      <c r="F95" s="26">
        <v>0.00115</v>
      </c>
      <c r="G95" s="25">
        <v>3.27</v>
      </c>
      <c r="H95" s="27">
        <f t="shared" ref="H95:H128" si="7">E95+G95</f>
        <v>23.25</v>
      </c>
      <c r="I95" s="28"/>
    </row>
    <row r="96">
      <c r="A96" s="29"/>
      <c r="B96" s="29"/>
      <c r="C96" s="24" t="s">
        <v>82</v>
      </c>
      <c r="D96" s="56" t="s">
        <v>81</v>
      </c>
      <c r="E96" s="25">
        <v>22.48</v>
      </c>
      <c r="F96" s="26">
        <v>0.00149</v>
      </c>
      <c r="G96" s="25">
        <v>3.65</v>
      </c>
      <c r="H96" s="27">
        <f t="shared" si="7"/>
        <v>26.13</v>
      </c>
      <c r="I96" s="28"/>
    </row>
    <row r="97">
      <c r="A97" s="29"/>
      <c r="B97" s="29"/>
      <c r="C97" s="24" t="s">
        <v>83</v>
      </c>
      <c r="D97" s="56" t="s">
        <v>81</v>
      </c>
      <c r="E97" s="25">
        <v>35.43</v>
      </c>
      <c r="F97" s="26">
        <v>0.00235</v>
      </c>
      <c r="G97" s="25">
        <v>5.8</v>
      </c>
      <c r="H97" s="27">
        <f t="shared" si="7"/>
        <v>41.23</v>
      </c>
      <c r="I97" s="28"/>
    </row>
    <row r="98">
      <c r="A98" s="29"/>
      <c r="B98" s="29"/>
      <c r="C98" s="24" t="s">
        <v>84</v>
      </c>
      <c r="D98" s="56" t="s">
        <v>81</v>
      </c>
      <c r="E98" s="25">
        <v>32.1</v>
      </c>
      <c r="F98" s="26">
        <v>0.00213</v>
      </c>
      <c r="G98" s="25">
        <v>5.26</v>
      </c>
      <c r="H98" s="27">
        <f t="shared" si="7"/>
        <v>37.36</v>
      </c>
      <c r="I98" s="28"/>
    </row>
    <row r="99">
      <c r="A99" s="29"/>
      <c r="B99" s="29"/>
      <c r="C99" s="24" t="s">
        <v>85</v>
      </c>
      <c r="D99" s="56" t="s">
        <v>81</v>
      </c>
      <c r="E99" s="25">
        <v>31.95</v>
      </c>
      <c r="F99" s="26">
        <v>0.00212</v>
      </c>
      <c r="G99" s="25">
        <v>5.23</v>
      </c>
      <c r="H99" s="27">
        <f t="shared" si="7"/>
        <v>37.18</v>
      </c>
      <c r="I99" s="28"/>
    </row>
    <row r="100">
      <c r="A100" s="29"/>
      <c r="B100" s="29"/>
      <c r="C100" s="57" t="s">
        <v>86</v>
      </c>
      <c r="D100" s="56" t="s">
        <v>81</v>
      </c>
      <c r="E100" s="25">
        <v>32.02</v>
      </c>
      <c r="F100" s="26">
        <v>0.00212</v>
      </c>
      <c r="G100" s="25">
        <v>5.24</v>
      </c>
      <c r="H100" s="27">
        <f t="shared" si="7"/>
        <v>37.26</v>
      </c>
      <c r="I100" s="28"/>
    </row>
    <row r="101">
      <c r="A101" s="29"/>
      <c r="B101" s="29"/>
      <c r="C101" s="24" t="s">
        <v>87</v>
      </c>
      <c r="D101" s="58"/>
      <c r="E101" s="25">
        <v>100.16</v>
      </c>
      <c r="F101" s="26">
        <v>0.00642</v>
      </c>
      <c r="G101" s="25">
        <v>15.72</v>
      </c>
      <c r="H101" s="27">
        <f t="shared" si="7"/>
        <v>115.88</v>
      </c>
      <c r="I101" s="28"/>
    </row>
    <row r="102">
      <c r="A102" s="31"/>
      <c r="B102" s="31"/>
      <c r="C102" s="24" t="s">
        <v>88</v>
      </c>
      <c r="D102" s="58"/>
      <c r="E102" s="25">
        <v>113.37</v>
      </c>
      <c r="F102" s="26">
        <v>0.00727</v>
      </c>
      <c r="G102" s="25">
        <v>17.79</v>
      </c>
      <c r="H102" s="27">
        <f t="shared" si="7"/>
        <v>131.16</v>
      </c>
      <c r="I102" s="28"/>
    </row>
    <row r="103">
      <c r="A103" s="22" t="s">
        <v>89</v>
      </c>
      <c r="B103" s="23">
        <v>3.0</v>
      </c>
      <c r="C103" s="24" t="s">
        <v>90</v>
      </c>
      <c r="D103" s="58"/>
      <c r="E103" s="25">
        <v>53.31</v>
      </c>
      <c r="F103" s="26">
        <v>0.00357</v>
      </c>
      <c r="G103" s="25">
        <v>8.73</v>
      </c>
      <c r="H103" s="27">
        <f t="shared" si="7"/>
        <v>62.04</v>
      </c>
      <c r="I103" s="28"/>
    </row>
    <row r="104">
      <c r="A104" s="29"/>
      <c r="B104" s="29"/>
      <c r="C104" s="24" t="s">
        <v>91</v>
      </c>
      <c r="D104" s="58"/>
      <c r="E104" s="25">
        <v>129.02</v>
      </c>
      <c r="F104" s="26">
        <v>0.00838</v>
      </c>
      <c r="G104" s="25">
        <v>21.35</v>
      </c>
      <c r="H104" s="27">
        <f t="shared" si="7"/>
        <v>150.37</v>
      </c>
      <c r="I104" s="28"/>
    </row>
    <row r="105">
      <c r="A105" s="29"/>
      <c r="B105" s="29"/>
      <c r="C105" s="24" t="s">
        <v>92</v>
      </c>
      <c r="D105" s="58"/>
      <c r="E105" s="25">
        <v>93.63</v>
      </c>
      <c r="F105" s="26">
        <v>0.00659</v>
      </c>
      <c r="G105" s="25">
        <v>16.11</v>
      </c>
      <c r="H105" s="27">
        <f t="shared" si="7"/>
        <v>109.74</v>
      </c>
      <c r="I105" s="28"/>
    </row>
    <row r="106">
      <c r="A106" s="29"/>
      <c r="B106" s="29"/>
      <c r="C106" s="24" t="s">
        <v>93</v>
      </c>
      <c r="D106" s="58"/>
      <c r="E106" s="25">
        <v>103.46</v>
      </c>
      <c r="F106" s="26">
        <v>0.00714</v>
      </c>
      <c r="G106" s="25">
        <v>16.78</v>
      </c>
      <c r="H106" s="27">
        <f t="shared" si="7"/>
        <v>120.24</v>
      </c>
      <c r="I106" s="28"/>
    </row>
    <row r="107">
      <c r="A107" s="31"/>
      <c r="B107" s="31"/>
      <c r="C107" s="24" t="s">
        <v>94</v>
      </c>
      <c r="D107" s="58"/>
      <c r="E107" s="25">
        <v>80.14</v>
      </c>
      <c r="F107" s="26">
        <v>0.0051</v>
      </c>
      <c r="G107" s="25">
        <v>12.96</v>
      </c>
      <c r="H107" s="27">
        <f t="shared" si="7"/>
        <v>93.1</v>
      </c>
      <c r="I107" s="28"/>
    </row>
    <row r="108">
      <c r="A108" s="22" t="s">
        <v>95</v>
      </c>
      <c r="B108" s="23">
        <v>6.0</v>
      </c>
      <c r="C108" s="24" t="s">
        <v>96</v>
      </c>
      <c r="D108" s="58"/>
      <c r="E108" s="25">
        <v>53.31</v>
      </c>
      <c r="F108" s="26">
        <v>0.00357</v>
      </c>
      <c r="G108" s="25">
        <v>8.73</v>
      </c>
      <c r="H108" s="27">
        <f t="shared" si="7"/>
        <v>62.04</v>
      </c>
      <c r="I108" s="28"/>
    </row>
    <row r="109">
      <c r="A109" s="29"/>
      <c r="B109" s="29"/>
      <c r="C109" s="24" t="s">
        <v>97</v>
      </c>
      <c r="D109" s="58"/>
      <c r="E109" s="25">
        <v>129.02</v>
      </c>
      <c r="F109" s="26">
        <v>0.00873</v>
      </c>
      <c r="G109" s="25">
        <v>21.35</v>
      </c>
      <c r="H109" s="27">
        <f t="shared" si="7"/>
        <v>150.37</v>
      </c>
      <c r="I109" s="28"/>
    </row>
    <row r="110">
      <c r="A110" s="29"/>
      <c r="B110" s="29"/>
      <c r="C110" s="24" t="s">
        <v>98</v>
      </c>
      <c r="D110" s="58"/>
      <c r="E110" s="25">
        <v>93.63</v>
      </c>
      <c r="F110" s="26">
        <v>0.00659</v>
      </c>
      <c r="G110" s="25">
        <v>16.11</v>
      </c>
      <c r="H110" s="27">
        <f t="shared" si="7"/>
        <v>109.74</v>
      </c>
      <c r="I110" s="28"/>
    </row>
    <row r="111">
      <c r="A111" s="29"/>
      <c r="B111" s="29"/>
      <c r="C111" s="24" t="s">
        <v>99</v>
      </c>
      <c r="D111" s="58"/>
      <c r="E111" s="25">
        <v>103.46</v>
      </c>
      <c r="F111" s="26">
        <v>0.00714</v>
      </c>
      <c r="G111" s="25">
        <v>16.78</v>
      </c>
      <c r="H111" s="27">
        <f t="shared" si="7"/>
        <v>120.24</v>
      </c>
      <c r="I111" s="28"/>
    </row>
    <row r="112">
      <c r="A112" s="31"/>
      <c r="B112" s="31"/>
      <c r="C112" s="24" t="s">
        <v>100</v>
      </c>
      <c r="D112" s="58"/>
      <c r="E112" s="25">
        <v>80.14</v>
      </c>
      <c r="F112" s="26">
        <v>0.00531</v>
      </c>
      <c r="G112" s="25">
        <v>12.96</v>
      </c>
      <c r="H112" s="27">
        <f t="shared" si="7"/>
        <v>93.1</v>
      </c>
      <c r="I112" s="28"/>
    </row>
    <row r="113">
      <c r="A113" s="22" t="s">
        <v>101</v>
      </c>
      <c r="B113" s="23">
        <v>9.0</v>
      </c>
      <c r="C113" s="24" t="s">
        <v>102</v>
      </c>
      <c r="D113" s="58"/>
      <c r="E113" s="25">
        <v>53.31</v>
      </c>
      <c r="F113" s="26">
        <v>0.00357</v>
      </c>
      <c r="G113" s="25">
        <v>8.73</v>
      </c>
      <c r="H113" s="27">
        <f t="shared" si="7"/>
        <v>62.04</v>
      </c>
      <c r="I113" s="28"/>
    </row>
    <row r="114">
      <c r="A114" s="29"/>
      <c r="B114" s="29"/>
      <c r="C114" s="24" t="s">
        <v>103</v>
      </c>
      <c r="D114" s="58"/>
      <c r="E114" s="25">
        <v>129.02</v>
      </c>
      <c r="F114" s="26">
        <v>0.00873</v>
      </c>
      <c r="G114" s="25">
        <v>21.35</v>
      </c>
      <c r="H114" s="27">
        <f t="shared" si="7"/>
        <v>150.37</v>
      </c>
      <c r="I114" s="28"/>
    </row>
    <row r="115">
      <c r="A115" s="29"/>
      <c r="B115" s="29"/>
      <c r="C115" s="24" t="s">
        <v>104</v>
      </c>
      <c r="D115" s="58"/>
      <c r="E115" s="25">
        <v>93.63</v>
      </c>
      <c r="F115" s="26">
        <v>0.00659</v>
      </c>
      <c r="G115" s="25">
        <v>16.11</v>
      </c>
      <c r="H115" s="27">
        <f t="shared" si="7"/>
        <v>109.74</v>
      </c>
      <c r="I115" s="28"/>
    </row>
    <row r="116">
      <c r="A116" s="29"/>
      <c r="B116" s="29"/>
      <c r="C116" s="24" t="s">
        <v>105</v>
      </c>
      <c r="D116" s="58"/>
      <c r="E116" s="25">
        <v>103.46</v>
      </c>
      <c r="F116" s="26">
        <v>0.00714</v>
      </c>
      <c r="G116" s="25">
        <v>16.78</v>
      </c>
      <c r="H116" s="27">
        <f t="shared" si="7"/>
        <v>120.24</v>
      </c>
      <c r="I116" s="28"/>
    </row>
    <row r="117">
      <c r="A117" s="31"/>
      <c r="B117" s="31"/>
      <c r="C117" s="24" t="s">
        <v>106</v>
      </c>
      <c r="D117" s="58"/>
      <c r="E117" s="25">
        <v>80.14</v>
      </c>
      <c r="F117" s="26">
        <v>0.00531</v>
      </c>
      <c r="G117" s="25">
        <v>12.96</v>
      </c>
      <c r="H117" s="27">
        <f t="shared" si="7"/>
        <v>93.1</v>
      </c>
      <c r="I117" s="28"/>
    </row>
    <row r="118">
      <c r="A118" s="22" t="s">
        <v>107</v>
      </c>
      <c r="B118" s="23">
        <v>12.0</v>
      </c>
      <c r="C118" s="24" t="s">
        <v>108</v>
      </c>
      <c r="D118" s="58"/>
      <c r="E118" s="25">
        <v>53.31</v>
      </c>
      <c r="F118" s="26">
        <v>0.00357</v>
      </c>
      <c r="G118" s="25">
        <v>8.73</v>
      </c>
      <c r="H118" s="27">
        <f t="shared" si="7"/>
        <v>62.04</v>
      </c>
      <c r="I118" s="28"/>
    </row>
    <row r="119">
      <c r="A119" s="29"/>
      <c r="B119" s="29"/>
      <c r="C119" s="24" t="s">
        <v>109</v>
      </c>
      <c r="D119" s="58"/>
      <c r="E119" s="25">
        <v>128.95</v>
      </c>
      <c r="F119" s="26" t="s">
        <v>110</v>
      </c>
      <c r="G119" s="25">
        <v>21.34</v>
      </c>
      <c r="H119" s="27">
        <f t="shared" si="7"/>
        <v>150.29</v>
      </c>
      <c r="I119" s="28"/>
    </row>
    <row r="120">
      <c r="A120" s="29"/>
      <c r="B120" s="29"/>
      <c r="C120" s="24" t="s">
        <v>111</v>
      </c>
      <c r="D120" s="58"/>
      <c r="E120" s="25">
        <v>203.88</v>
      </c>
      <c r="F120" s="26">
        <v>0.01372</v>
      </c>
      <c r="G120" s="25">
        <v>26.78</v>
      </c>
      <c r="H120" s="27">
        <f t="shared" si="7"/>
        <v>230.66</v>
      </c>
      <c r="I120" s="28"/>
    </row>
    <row r="121">
      <c r="A121" s="31"/>
      <c r="B121" s="31"/>
      <c r="C121" s="24" t="s">
        <v>112</v>
      </c>
      <c r="D121" s="58"/>
      <c r="E121" s="25">
        <v>80.14</v>
      </c>
      <c r="F121" s="26">
        <v>0.00531</v>
      </c>
      <c r="G121" s="25">
        <v>12.96</v>
      </c>
      <c r="H121" s="27">
        <f t="shared" si="7"/>
        <v>93.1</v>
      </c>
      <c r="I121" s="28"/>
    </row>
    <row r="122">
      <c r="A122" s="22" t="s">
        <v>113</v>
      </c>
      <c r="B122" s="23">
        <v>15.0</v>
      </c>
      <c r="C122" s="24" t="s">
        <v>114</v>
      </c>
      <c r="D122" s="58"/>
      <c r="E122" s="25">
        <v>53.31</v>
      </c>
      <c r="F122" s="26">
        <v>0.00357</v>
      </c>
      <c r="G122" s="25">
        <v>8.73</v>
      </c>
      <c r="H122" s="27">
        <f t="shared" si="7"/>
        <v>62.04</v>
      </c>
      <c r="I122" s="28"/>
    </row>
    <row r="123">
      <c r="A123" s="29"/>
      <c r="B123" s="29"/>
      <c r="C123" s="24" t="s">
        <v>115</v>
      </c>
      <c r="D123" s="58"/>
      <c r="E123" s="25">
        <v>129.33</v>
      </c>
      <c r="F123" s="26">
        <v>0.00875</v>
      </c>
      <c r="G123" s="25">
        <v>21.4</v>
      </c>
      <c r="H123" s="27">
        <f t="shared" si="7"/>
        <v>150.73</v>
      </c>
      <c r="I123" s="28"/>
    </row>
    <row r="124">
      <c r="A124" s="29"/>
      <c r="B124" s="29"/>
      <c r="C124" s="24" t="s">
        <v>116</v>
      </c>
      <c r="D124" s="58"/>
      <c r="E124" s="25">
        <v>192.37</v>
      </c>
      <c r="F124" s="26">
        <v>0.0134</v>
      </c>
      <c r="G124" s="25">
        <v>32.47</v>
      </c>
      <c r="H124" s="27">
        <f t="shared" si="7"/>
        <v>224.84</v>
      </c>
      <c r="I124" s="28"/>
    </row>
    <row r="125">
      <c r="A125" s="31"/>
      <c r="B125" s="31"/>
      <c r="C125" s="24" t="s">
        <v>117</v>
      </c>
      <c r="D125" s="58"/>
      <c r="E125" s="25">
        <v>78.02</v>
      </c>
      <c r="F125" s="26">
        <v>0.00522</v>
      </c>
      <c r="G125" s="25">
        <v>12.65</v>
      </c>
      <c r="H125" s="27">
        <f t="shared" si="7"/>
        <v>90.67</v>
      </c>
      <c r="I125" s="28"/>
    </row>
    <row r="126">
      <c r="A126" s="22" t="s">
        <v>118</v>
      </c>
      <c r="B126" s="23">
        <v>18.0</v>
      </c>
      <c r="C126" s="24" t="s">
        <v>119</v>
      </c>
      <c r="D126" s="58"/>
      <c r="E126" s="25">
        <v>119.28</v>
      </c>
      <c r="F126" s="26">
        <v>0.00814</v>
      </c>
      <c r="G126" s="25">
        <v>19.91</v>
      </c>
      <c r="H126" s="27">
        <f t="shared" si="7"/>
        <v>139.19</v>
      </c>
      <c r="I126" s="28"/>
    </row>
    <row r="127">
      <c r="A127" s="29"/>
      <c r="B127" s="29"/>
      <c r="C127" s="24" t="s">
        <v>120</v>
      </c>
      <c r="D127" s="58"/>
      <c r="E127" s="25">
        <v>171.33</v>
      </c>
      <c r="F127" s="26">
        <v>0.01272</v>
      </c>
      <c r="G127" s="25">
        <v>30.66</v>
      </c>
      <c r="H127" s="27">
        <f t="shared" si="7"/>
        <v>201.99</v>
      </c>
      <c r="I127" s="28"/>
    </row>
    <row r="128">
      <c r="A128" s="31"/>
      <c r="B128" s="31"/>
      <c r="C128" s="24" t="s">
        <v>121</v>
      </c>
      <c r="D128" s="58"/>
      <c r="E128" s="25">
        <v>103.29</v>
      </c>
      <c r="F128" s="26">
        <v>0.00856</v>
      </c>
      <c r="G128" s="25">
        <v>20.65</v>
      </c>
      <c r="H128" s="27">
        <f t="shared" si="7"/>
        <v>123.94</v>
      </c>
      <c r="I128" s="28"/>
    </row>
    <row r="129">
      <c r="A129" s="32" t="s">
        <v>122</v>
      </c>
      <c r="B129" s="20"/>
      <c r="C129" s="20"/>
      <c r="D129" s="33"/>
      <c r="E129" s="25">
        <f t="shared" ref="E129:H129" si="8">SUM(E95:E128)</f>
        <v>3079.38</v>
      </c>
      <c r="F129" s="34">
        <f t="shared" si="8"/>
        <v>0.20147</v>
      </c>
      <c r="G129" s="25">
        <f t="shared" si="8"/>
        <v>506.03</v>
      </c>
      <c r="H129" s="27">
        <f t="shared" si="8"/>
        <v>3585.41</v>
      </c>
      <c r="I129" s="28"/>
    </row>
    <row r="130">
      <c r="A130" s="36" t="s">
        <v>123</v>
      </c>
      <c r="B130" s="37"/>
      <c r="C130" s="37"/>
      <c r="D130" s="38"/>
      <c r="E130" s="38"/>
      <c r="F130" s="38"/>
      <c r="G130" s="38"/>
      <c r="H130" s="39"/>
      <c r="I130" s="4"/>
    </row>
    <row r="131">
      <c r="A131" s="22" t="s">
        <v>124</v>
      </c>
      <c r="B131" s="23">
        <v>0.0</v>
      </c>
      <c r="C131" s="24" t="s">
        <v>82</v>
      </c>
      <c r="D131" s="56" t="s">
        <v>81</v>
      </c>
      <c r="E131" s="25">
        <v>20.89</v>
      </c>
      <c r="F131" s="26">
        <v>0.00139</v>
      </c>
      <c r="G131" s="25">
        <v>3.42</v>
      </c>
      <c r="H131" s="27">
        <f t="shared" ref="H131:H169" si="9">E131+G131</f>
        <v>24.31</v>
      </c>
      <c r="I131" s="35"/>
    </row>
    <row r="132">
      <c r="A132" s="29"/>
      <c r="B132" s="29"/>
      <c r="C132" s="24" t="s">
        <v>87</v>
      </c>
      <c r="D132" s="56"/>
      <c r="E132" s="25">
        <v>107.11</v>
      </c>
      <c r="F132" s="26">
        <v>0.00687</v>
      </c>
      <c r="G132" s="25">
        <v>16.81</v>
      </c>
      <c r="H132" s="27">
        <f t="shared" si="9"/>
        <v>123.92</v>
      </c>
      <c r="I132" s="28"/>
    </row>
    <row r="133">
      <c r="A133" s="31"/>
      <c r="B133" s="31"/>
      <c r="C133" s="24" t="s">
        <v>88</v>
      </c>
      <c r="D133" s="56"/>
      <c r="E133" s="25">
        <v>113.57</v>
      </c>
      <c r="F133" s="26">
        <v>0.00728</v>
      </c>
      <c r="G133" s="25">
        <v>17.82</v>
      </c>
      <c r="H133" s="27">
        <f t="shared" si="9"/>
        <v>131.39</v>
      </c>
      <c r="I133" s="28"/>
    </row>
    <row r="134">
      <c r="A134" s="22" t="s">
        <v>89</v>
      </c>
      <c r="B134" s="23">
        <v>3.0</v>
      </c>
      <c r="C134" s="24" t="s">
        <v>90</v>
      </c>
      <c r="D134" s="56"/>
      <c r="E134" s="25">
        <v>43.24</v>
      </c>
      <c r="F134" s="26">
        <v>0.0029</v>
      </c>
      <c r="G134" s="25">
        <v>7.08</v>
      </c>
      <c r="H134" s="27">
        <f t="shared" si="9"/>
        <v>50.32</v>
      </c>
      <c r="I134" s="28"/>
    </row>
    <row r="135">
      <c r="A135" s="29"/>
      <c r="B135" s="29"/>
      <c r="C135" s="24" t="s">
        <v>91</v>
      </c>
      <c r="D135" s="56"/>
      <c r="E135" s="25">
        <v>108.7</v>
      </c>
      <c r="F135" s="26">
        <v>0.0073</v>
      </c>
      <c r="G135" s="25">
        <v>18.23</v>
      </c>
      <c r="H135" s="27">
        <f t="shared" si="9"/>
        <v>126.93</v>
      </c>
      <c r="I135" s="28"/>
    </row>
    <row r="136">
      <c r="A136" s="29"/>
      <c r="B136" s="29"/>
      <c r="C136" s="24" t="s">
        <v>92</v>
      </c>
      <c r="D136" s="56"/>
      <c r="E136" s="25">
        <v>69.69</v>
      </c>
      <c r="F136" s="26">
        <v>0.0048</v>
      </c>
      <c r="G136" s="25">
        <v>11.99</v>
      </c>
      <c r="H136" s="27">
        <f t="shared" si="9"/>
        <v>81.68</v>
      </c>
      <c r="I136" s="28"/>
    </row>
    <row r="137">
      <c r="A137" s="31"/>
      <c r="B137" s="31"/>
      <c r="C137" s="24" t="s">
        <v>93</v>
      </c>
      <c r="D137" s="58"/>
      <c r="E137" s="25">
        <v>98.71</v>
      </c>
      <c r="F137" s="26">
        <v>0.00632</v>
      </c>
      <c r="G137" s="25">
        <v>16.12</v>
      </c>
      <c r="H137" s="27">
        <f t="shared" si="9"/>
        <v>114.83</v>
      </c>
      <c r="I137" s="28"/>
    </row>
    <row r="138">
      <c r="A138" s="22" t="s">
        <v>95</v>
      </c>
      <c r="B138" s="23">
        <v>6.0</v>
      </c>
      <c r="C138" s="24" t="s">
        <v>96</v>
      </c>
      <c r="D138" s="58"/>
      <c r="E138" s="25">
        <v>43.24</v>
      </c>
      <c r="F138" s="26">
        <v>0.0029</v>
      </c>
      <c r="G138" s="25">
        <v>7.08</v>
      </c>
      <c r="H138" s="27">
        <f t="shared" si="9"/>
        <v>50.32</v>
      </c>
      <c r="I138" s="28"/>
    </row>
    <row r="139">
      <c r="A139" s="29"/>
      <c r="B139" s="29"/>
      <c r="C139" s="24" t="s">
        <v>97</v>
      </c>
      <c r="D139" s="58"/>
      <c r="E139" s="25">
        <v>108.7</v>
      </c>
      <c r="F139" s="26">
        <v>0.00745</v>
      </c>
      <c r="G139" s="25">
        <v>18.23</v>
      </c>
      <c r="H139" s="27">
        <f t="shared" si="9"/>
        <v>126.93</v>
      </c>
      <c r="I139" s="28"/>
    </row>
    <row r="140">
      <c r="A140" s="29"/>
      <c r="B140" s="29"/>
      <c r="C140" s="24" t="s">
        <v>98</v>
      </c>
      <c r="D140" s="58"/>
      <c r="E140" s="25">
        <v>69.69</v>
      </c>
      <c r="F140" s="26">
        <v>0.0049</v>
      </c>
      <c r="G140" s="25">
        <v>11.99</v>
      </c>
      <c r="H140" s="27">
        <f t="shared" si="9"/>
        <v>81.68</v>
      </c>
      <c r="I140" s="28"/>
    </row>
    <row r="141">
      <c r="A141" s="31"/>
      <c r="B141" s="31"/>
      <c r="C141" s="24" t="s">
        <v>99</v>
      </c>
      <c r="D141" s="58"/>
      <c r="E141" s="25">
        <v>98.71</v>
      </c>
      <c r="F141" s="26">
        <v>0.00659</v>
      </c>
      <c r="G141" s="25">
        <v>16.12</v>
      </c>
      <c r="H141" s="27">
        <f t="shared" si="9"/>
        <v>114.83</v>
      </c>
      <c r="I141" s="28"/>
    </row>
    <row r="142">
      <c r="A142" s="22" t="s">
        <v>101</v>
      </c>
      <c r="B142" s="23">
        <v>9.0</v>
      </c>
      <c r="C142" s="24" t="s">
        <v>102</v>
      </c>
      <c r="D142" s="58"/>
      <c r="E142" s="25">
        <v>43.24</v>
      </c>
      <c r="F142" s="26">
        <v>0.0029</v>
      </c>
      <c r="G142" s="25">
        <v>7.08</v>
      </c>
      <c r="H142" s="27">
        <f t="shared" si="9"/>
        <v>50.32</v>
      </c>
      <c r="I142" s="28"/>
    </row>
    <row r="143">
      <c r="A143" s="29"/>
      <c r="B143" s="29"/>
      <c r="C143" s="24" t="s">
        <v>103</v>
      </c>
      <c r="D143" s="58"/>
      <c r="E143" s="25">
        <v>108.7</v>
      </c>
      <c r="F143" s="26">
        <v>0.00745</v>
      </c>
      <c r="G143" s="25">
        <v>18.23</v>
      </c>
      <c r="H143" s="27">
        <f t="shared" si="9"/>
        <v>126.93</v>
      </c>
      <c r="I143" s="28"/>
    </row>
    <row r="144">
      <c r="A144" s="29"/>
      <c r="B144" s="29"/>
      <c r="C144" s="24" t="s">
        <v>104</v>
      </c>
      <c r="D144" s="58"/>
      <c r="E144" s="25">
        <v>69.69</v>
      </c>
      <c r="F144" s="26">
        <v>0.0049</v>
      </c>
      <c r="G144" s="25">
        <v>11.99</v>
      </c>
      <c r="H144" s="27">
        <f t="shared" si="9"/>
        <v>81.68</v>
      </c>
      <c r="I144" s="28"/>
    </row>
    <row r="145">
      <c r="A145" s="31"/>
      <c r="B145" s="31"/>
      <c r="C145" s="24" t="s">
        <v>105</v>
      </c>
      <c r="D145" s="58"/>
      <c r="E145" s="25">
        <v>98.71</v>
      </c>
      <c r="F145" s="26">
        <v>0.00659</v>
      </c>
      <c r="G145" s="25">
        <v>16.12</v>
      </c>
      <c r="H145" s="27">
        <f t="shared" si="9"/>
        <v>114.83</v>
      </c>
      <c r="I145" s="28"/>
    </row>
    <row r="146">
      <c r="A146" s="22" t="s">
        <v>107</v>
      </c>
      <c r="B146" s="23">
        <v>12.0</v>
      </c>
      <c r="C146" s="24" t="s">
        <v>108</v>
      </c>
      <c r="D146" s="58"/>
      <c r="E146" s="25">
        <v>43.24</v>
      </c>
      <c r="F146" s="26">
        <v>0.0029</v>
      </c>
      <c r="G146" s="25">
        <v>7.08</v>
      </c>
      <c r="H146" s="27">
        <f t="shared" si="9"/>
        <v>50.32</v>
      </c>
      <c r="I146" s="28"/>
    </row>
    <row r="147">
      <c r="A147" s="29"/>
      <c r="B147" s="29"/>
      <c r="C147" s="24" t="s">
        <v>109</v>
      </c>
      <c r="D147" s="58"/>
      <c r="E147" s="25">
        <v>108.7</v>
      </c>
      <c r="F147" s="26">
        <v>0.00745</v>
      </c>
      <c r="G147" s="25">
        <v>18.23</v>
      </c>
      <c r="H147" s="27">
        <f t="shared" si="9"/>
        <v>126.93</v>
      </c>
      <c r="I147" s="28"/>
    </row>
    <row r="148">
      <c r="A148" s="29"/>
      <c r="B148" s="29"/>
      <c r="C148" s="24" t="s">
        <v>125</v>
      </c>
      <c r="D148" s="58"/>
      <c r="E148" s="25">
        <v>69.69</v>
      </c>
      <c r="F148" s="26">
        <v>0.0049</v>
      </c>
      <c r="G148" s="25">
        <v>11.99</v>
      </c>
      <c r="H148" s="27">
        <f t="shared" si="9"/>
        <v>81.68</v>
      </c>
      <c r="I148" s="28"/>
    </row>
    <row r="149">
      <c r="A149" s="31"/>
      <c r="B149" s="31"/>
      <c r="C149" s="24" t="s">
        <v>111</v>
      </c>
      <c r="D149" s="58"/>
      <c r="E149" s="25">
        <v>98.71</v>
      </c>
      <c r="F149" s="26">
        <v>0.00659</v>
      </c>
      <c r="G149" s="25">
        <v>16.12</v>
      </c>
      <c r="H149" s="27">
        <f t="shared" si="9"/>
        <v>114.83</v>
      </c>
      <c r="I149" s="28"/>
    </row>
    <row r="150">
      <c r="A150" s="22" t="s">
        <v>113</v>
      </c>
      <c r="B150" s="23">
        <v>15.0</v>
      </c>
      <c r="C150" s="24" t="s">
        <v>114</v>
      </c>
      <c r="D150" s="58"/>
      <c r="E150" s="25">
        <v>43.56</v>
      </c>
      <c r="F150" s="26">
        <v>0.00292</v>
      </c>
      <c r="G150" s="25">
        <v>7.13</v>
      </c>
      <c r="H150" s="27">
        <f t="shared" si="9"/>
        <v>50.69</v>
      </c>
      <c r="I150" s="28"/>
    </row>
    <row r="151">
      <c r="A151" s="29"/>
      <c r="B151" s="29"/>
      <c r="C151" s="24" t="s">
        <v>115</v>
      </c>
      <c r="D151" s="58"/>
      <c r="E151" s="25">
        <v>104.19</v>
      </c>
      <c r="F151" s="26">
        <v>0.00714</v>
      </c>
      <c r="G151" s="25">
        <v>17.47</v>
      </c>
      <c r="H151" s="27">
        <f t="shared" si="9"/>
        <v>121.66</v>
      </c>
      <c r="I151" s="28"/>
    </row>
    <row r="152">
      <c r="A152" s="29"/>
      <c r="B152" s="29"/>
      <c r="C152" s="24" t="s">
        <v>116</v>
      </c>
      <c r="D152" s="58"/>
      <c r="E152" s="25">
        <v>67.12</v>
      </c>
      <c r="F152" s="26">
        <v>0.00472</v>
      </c>
      <c r="G152" s="25">
        <v>11.55</v>
      </c>
      <c r="H152" s="27">
        <f t="shared" si="9"/>
        <v>78.67</v>
      </c>
      <c r="I152" s="28"/>
    </row>
    <row r="153">
      <c r="A153" s="31"/>
      <c r="B153" s="31"/>
      <c r="C153" s="24" t="s">
        <v>117</v>
      </c>
      <c r="D153" s="58"/>
      <c r="E153" s="25">
        <v>96.78</v>
      </c>
      <c r="F153" s="26">
        <v>0.00646</v>
      </c>
      <c r="G153" s="25">
        <v>15.8</v>
      </c>
      <c r="H153" s="27">
        <f t="shared" si="9"/>
        <v>112.58</v>
      </c>
      <c r="I153" s="28"/>
    </row>
    <row r="154">
      <c r="A154" s="22" t="s">
        <v>118</v>
      </c>
      <c r="B154" s="23">
        <v>18.0</v>
      </c>
      <c r="C154" s="24" t="s">
        <v>119</v>
      </c>
      <c r="D154" s="58"/>
      <c r="E154" s="25">
        <v>133.61</v>
      </c>
      <c r="F154" s="26">
        <v>0.00933</v>
      </c>
      <c r="G154" s="25">
        <v>22.81</v>
      </c>
      <c r="H154" s="27">
        <f t="shared" si="9"/>
        <v>156.42</v>
      </c>
      <c r="I154" s="28"/>
    </row>
    <row r="155">
      <c r="A155" s="29"/>
      <c r="B155" s="29"/>
      <c r="C155" s="24" t="s">
        <v>120</v>
      </c>
      <c r="D155" s="58"/>
      <c r="E155" s="25">
        <v>66.99</v>
      </c>
      <c r="F155" s="26">
        <v>0.00435</v>
      </c>
      <c r="G155" s="25">
        <v>11.53</v>
      </c>
      <c r="H155" s="27">
        <f t="shared" si="9"/>
        <v>78.52</v>
      </c>
      <c r="I155" s="28"/>
    </row>
    <row r="156">
      <c r="A156" s="31"/>
      <c r="B156" s="31"/>
      <c r="C156" s="24" t="s">
        <v>121</v>
      </c>
      <c r="D156" s="58"/>
      <c r="E156" s="25">
        <v>86.8</v>
      </c>
      <c r="F156" s="26">
        <v>0.00634</v>
      </c>
      <c r="G156" s="25">
        <v>15.93</v>
      </c>
      <c r="H156" s="27">
        <f t="shared" si="9"/>
        <v>102.73</v>
      </c>
      <c r="I156" s="28"/>
    </row>
    <row r="157">
      <c r="A157" s="22" t="s">
        <v>17</v>
      </c>
      <c r="B157" s="22">
        <v>-3.3</v>
      </c>
      <c r="C157" s="24" t="s">
        <v>126</v>
      </c>
      <c r="D157" s="56" t="s">
        <v>127</v>
      </c>
      <c r="E157" s="25">
        <v>4.364444444444445</v>
      </c>
      <c r="F157" s="26">
        <v>8.0E-5</v>
      </c>
      <c r="G157" s="25">
        <v>0.20444444444444446</v>
      </c>
      <c r="H157" s="27">
        <f t="shared" si="9"/>
        <v>4.568888889</v>
      </c>
      <c r="I157" s="28"/>
    </row>
    <row r="158">
      <c r="A158" s="29"/>
      <c r="B158" s="29"/>
      <c r="C158" s="59" t="s">
        <v>128</v>
      </c>
      <c r="D158" s="56" t="s">
        <v>127</v>
      </c>
      <c r="E158" s="25">
        <v>4.364444444444445</v>
      </c>
      <c r="F158" s="26">
        <v>8.0E-5</v>
      </c>
      <c r="G158" s="25">
        <v>0.20444444444444446</v>
      </c>
      <c r="H158" s="27">
        <f t="shared" si="9"/>
        <v>4.568888889</v>
      </c>
      <c r="I158" s="28"/>
    </row>
    <row r="159">
      <c r="A159" s="29"/>
      <c r="B159" s="29"/>
      <c r="C159" s="59" t="s">
        <v>129</v>
      </c>
      <c r="D159" s="56" t="s">
        <v>127</v>
      </c>
      <c r="E159" s="25">
        <v>4.364444444444445</v>
      </c>
      <c r="F159" s="26">
        <v>8.0E-5</v>
      </c>
      <c r="G159" s="25">
        <v>0.20444444444444446</v>
      </c>
      <c r="H159" s="27">
        <f t="shared" si="9"/>
        <v>4.568888889</v>
      </c>
      <c r="I159" s="28"/>
    </row>
    <row r="160">
      <c r="A160" s="29"/>
      <c r="B160" s="29"/>
      <c r="C160" s="59" t="s">
        <v>130</v>
      </c>
      <c r="D160" s="56" t="s">
        <v>127</v>
      </c>
      <c r="E160" s="25">
        <v>4.364444444444445</v>
      </c>
      <c r="F160" s="26">
        <v>8.0E-5</v>
      </c>
      <c r="G160" s="25">
        <v>0.20444444444444446</v>
      </c>
      <c r="H160" s="27">
        <f t="shared" si="9"/>
        <v>4.568888889</v>
      </c>
      <c r="I160" s="28"/>
    </row>
    <row r="161">
      <c r="A161" s="29"/>
      <c r="B161" s="29"/>
      <c r="C161" s="59" t="s">
        <v>131</v>
      </c>
      <c r="D161" s="56" t="s">
        <v>127</v>
      </c>
      <c r="E161" s="25">
        <v>4.91</v>
      </c>
      <c r="F161" s="26">
        <v>9.0E-5</v>
      </c>
      <c r="G161" s="25">
        <v>0.23</v>
      </c>
      <c r="H161" s="27">
        <f t="shared" si="9"/>
        <v>5.14</v>
      </c>
      <c r="I161" s="28"/>
    </row>
    <row r="162">
      <c r="A162" s="29"/>
      <c r="B162" s="29"/>
      <c r="C162" s="59" t="s">
        <v>132</v>
      </c>
      <c r="D162" s="56" t="s">
        <v>127</v>
      </c>
      <c r="E162" s="25">
        <v>5.455555555555556</v>
      </c>
      <c r="F162" s="26" t="s">
        <v>133</v>
      </c>
      <c r="G162" s="25">
        <v>0.2555555555555556</v>
      </c>
      <c r="H162" s="27">
        <f t="shared" si="9"/>
        <v>5.711111111</v>
      </c>
      <c r="I162" s="28"/>
    </row>
    <row r="163">
      <c r="A163" s="29"/>
      <c r="B163" s="29"/>
      <c r="C163" s="59" t="s">
        <v>134</v>
      </c>
      <c r="D163" s="56" t="s">
        <v>127</v>
      </c>
      <c r="E163" s="25">
        <v>3.8188888888888886</v>
      </c>
      <c r="F163" s="26">
        <v>7.0E-5</v>
      </c>
      <c r="G163" s="25">
        <v>0.17888888888888888</v>
      </c>
      <c r="H163" s="27">
        <f t="shared" si="9"/>
        <v>3.997777778</v>
      </c>
      <c r="I163" s="28"/>
    </row>
    <row r="164">
      <c r="A164" s="29"/>
      <c r="B164" s="29"/>
      <c r="C164" s="59" t="s">
        <v>135</v>
      </c>
      <c r="D164" s="56" t="s">
        <v>127</v>
      </c>
      <c r="E164" s="25">
        <v>3.8188888888888886</v>
      </c>
      <c r="F164" s="26">
        <v>7.0E-5</v>
      </c>
      <c r="G164" s="25">
        <v>0.17888888888888888</v>
      </c>
      <c r="H164" s="27">
        <f t="shared" si="9"/>
        <v>3.997777778</v>
      </c>
      <c r="I164" s="28"/>
    </row>
    <row r="165">
      <c r="A165" s="29"/>
      <c r="B165" s="29"/>
      <c r="C165" s="59" t="s">
        <v>136</v>
      </c>
      <c r="D165" s="56" t="s">
        <v>127</v>
      </c>
      <c r="E165" s="25">
        <v>4.91</v>
      </c>
      <c r="F165" s="26">
        <v>9.0E-5</v>
      </c>
      <c r="G165" s="25">
        <v>0.23</v>
      </c>
      <c r="H165" s="27">
        <f t="shared" si="9"/>
        <v>5.14</v>
      </c>
      <c r="I165" s="28"/>
    </row>
    <row r="166">
      <c r="A166" s="29"/>
      <c r="B166" s="29"/>
      <c r="C166" s="59" t="s">
        <v>137</v>
      </c>
      <c r="D166" s="56" t="s">
        <v>127</v>
      </c>
      <c r="E166" s="25">
        <v>5.455555555555556</v>
      </c>
      <c r="F166" s="26">
        <v>1.0E-4</v>
      </c>
      <c r="G166" s="25">
        <v>0.2555555555555556</v>
      </c>
      <c r="H166" s="27">
        <f t="shared" si="9"/>
        <v>5.711111111</v>
      </c>
      <c r="I166" s="28"/>
    </row>
    <row r="167">
      <c r="A167" s="29"/>
      <c r="B167" s="29"/>
      <c r="C167" s="59" t="s">
        <v>138</v>
      </c>
      <c r="D167" s="56" t="s">
        <v>127</v>
      </c>
      <c r="E167" s="56">
        <v>4.91</v>
      </c>
      <c r="F167" s="26">
        <v>9.0E-5</v>
      </c>
      <c r="G167" s="56">
        <v>0.23</v>
      </c>
      <c r="H167" s="27">
        <f t="shared" si="9"/>
        <v>5.14</v>
      </c>
      <c r="I167" s="28"/>
    </row>
    <row r="168">
      <c r="A168" s="29"/>
      <c r="B168" s="29"/>
      <c r="C168" s="59" t="s">
        <v>139</v>
      </c>
      <c r="D168" s="56" t="s">
        <v>127</v>
      </c>
      <c r="E168" s="56">
        <v>4.91</v>
      </c>
      <c r="F168" s="26">
        <v>9.0E-5</v>
      </c>
      <c r="G168" s="25">
        <v>0.23</v>
      </c>
      <c r="H168" s="27">
        <f t="shared" si="9"/>
        <v>5.14</v>
      </c>
      <c r="I168" s="28"/>
    </row>
    <row r="169">
      <c r="A169" s="31"/>
      <c r="B169" s="31"/>
      <c r="C169" s="59" t="s">
        <v>140</v>
      </c>
      <c r="D169" s="56" t="s">
        <v>127</v>
      </c>
      <c r="E169" s="25">
        <v>5.455555555555556</v>
      </c>
      <c r="F169" s="26">
        <v>1.0E-4</v>
      </c>
      <c r="G169" s="25">
        <v>0.2555555555555556</v>
      </c>
      <c r="H169" s="27">
        <f t="shared" si="9"/>
        <v>5.711111111</v>
      </c>
      <c r="I169" s="28"/>
    </row>
    <row r="170">
      <c r="A170" s="32" t="s">
        <v>141</v>
      </c>
      <c r="B170" s="20"/>
      <c r="C170" s="20"/>
      <c r="D170" s="33"/>
      <c r="E170" s="25">
        <f>sum(E131:E169)</f>
        <v>2183.082222</v>
      </c>
      <c r="F170" s="34">
        <f>SUM(F131:F169)</f>
        <v>0.14466</v>
      </c>
      <c r="G170" s="25">
        <f t="shared" ref="G170:H170" si="10">sum(G131:G169)</f>
        <v>356.8122222</v>
      </c>
      <c r="H170" s="27">
        <f t="shared" si="10"/>
        <v>2539.894444</v>
      </c>
      <c r="I170" s="28"/>
    </row>
    <row r="171">
      <c r="A171" s="60" t="s">
        <v>142</v>
      </c>
      <c r="B171" s="61"/>
      <c r="C171" s="61"/>
      <c r="D171" s="38"/>
      <c r="E171" s="61"/>
      <c r="F171" s="38"/>
      <c r="G171" s="38"/>
      <c r="H171" s="39"/>
      <c r="I171" s="4"/>
    </row>
    <row r="172">
      <c r="A172" s="62" t="s">
        <v>124</v>
      </c>
      <c r="B172" s="63">
        <v>0.0</v>
      </c>
      <c r="C172" s="59" t="s">
        <v>82</v>
      </c>
      <c r="D172" s="56" t="s">
        <v>81</v>
      </c>
      <c r="E172" s="59">
        <v>19.98</v>
      </c>
      <c r="F172" s="26">
        <v>0.00132</v>
      </c>
      <c r="G172" s="25">
        <v>3.27</v>
      </c>
      <c r="H172" s="27">
        <f t="shared" ref="H172:H198" si="11">E172+G172</f>
        <v>23.25</v>
      </c>
      <c r="I172" s="28"/>
    </row>
    <row r="173">
      <c r="A173" s="29"/>
      <c r="B173" s="29"/>
      <c r="C173" s="59" t="s">
        <v>83</v>
      </c>
      <c r="D173" s="56" t="s">
        <v>81</v>
      </c>
      <c r="E173" s="59">
        <v>28.74</v>
      </c>
      <c r="F173" s="26">
        <v>0.00191</v>
      </c>
      <c r="G173" s="25">
        <v>4.71</v>
      </c>
      <c r="H173" s="27">
        <f t="shared" si="11"/>
        <v>33.45</v>
      </c>
      <c r="I173" s="28"/>
    </row>
    <row r="174">
      <c r="A174" s="29"/>
      <c r="B174" s="29"/>
      <c r="C174" s="59" t="s">
        <v>87</v>
      </c>
      <c r="D174" s="58"/>
      <c r="E174" s="59">
        <v>107.11</v>
      </c>
      <c r="F174" s="26">
        <v>0.00687</v>
      </c>
      <c r="G174" s="25">
        <v>16.81</v>
      </c>
      <c r="H174" s="27">
        <f t="shared" si="11"/>
        <v>123.92</v>
      </c>
      <c r="I174" s="28"/>
    </row>
    <row r="175">
      <c r="A175" s="31"/>
      <c r="B175" s="31"/>
      <c r="C175" s="59" t="s">
        <v>88</v>
      </c>
      <c r="D175" s="58"/>
      <c r="E175" s="59">
        <v>112.01</v>
      </c>
      <c r="F175" s="26">
        <v>0.00718</v>
      </c>
      <c r="G175" s="25">
        <v>17.57</v>
      </c>
      <c r="H175" s="27">
        <f t="shared" si="11"/>
        <v>129.58</v>
      </c>
      <c r="I175" s="28"/>
    </row>
    <row r="176">
      <c r="A176" s="62" t="s">
        <v>89</v>
      </c>
      <c r="B176" s="63">
        <v>3.0</v>
      </c>
      <c r="C176" s="59" t="s">
        <v>90</v>
      </c>
      <c r="D176" s="58"/>
      <c r="E176" s="59">
        <v>43.24</v>
      </c>
      <c r="F176" s="26">
        <v>0.0029</v>
      </c>
      <c r="G176" s="25">
        <v>7.08</v>
      </c>
      <c r="H176" s="27">
        <f t="shared" si="11"/>
        <v>50.32</v>
      </c>
      <c r="I176" s="28"/>
    </row>
    <row r="177">
      <c r="A177" s="29"/>
      <c r="B177" s="29"/>
      <c r="C177" s="59" t="s">
        <v>91</v>
      </c>
      <c r="D177" s="58"/>
      <c r="E177" s="59">
        <v>108.7</v>
      </c>
      <c r="F177" s="26">
        <v>0.0073</v>
      </c>
      <c r="G177" s="25">
        <v>18.23</v>
      </c>
      <c r="H177" s="27">
        <f t="shared" si="11"/>
        <v>126.93</v>
      </c>
      <c r="I177" s="28"/>
    </row>
    <row r="178">
      <c r="A178" s="29"/>
      <c r="B178" s="29"/>
      <c r="C178" s="59" t="s">
        <v>92</v>
      </c>
      <c r="D178" s="58"/>
      <c r="E178" s="59">
        <v>69.69</v>
      </c>
      <c r="F178" s="26">
        <v>0.0048</v>
      </c>
      <c r="G178" s="25">
        <v>11.99</v>
      </c>
      <c r="H178" s="27">
        <f t="shared" si="11"/>
        <v>81.68</v>
      </c>
      <c r="I178" s="28"/>
    </row>
    <row r="179">
      <c r="A179" s="31"/>
      <c r="B179" s="31"/>
      <c r="C179" s="59" t="s">
        <v>93</v>
      </c>
      <c r="D179" s="58"/>
      <c r="E179" s="59">
        <v>97.15</v>
      </c>
      <c r="F179" s="26">
        <v>0.00622</v>
      </c>
      <c r="G179" s="25">
        <v>15.86</v>
      </c>
      <c r="H179" s="27">
        <f t="shared" si="11"/>
        <v>113.01</v>
      </c>
      <c r="I179" s="28"/>
    </row>
    <row r="180">
      <c r="A180" s="62" t="s">
        <v>95</v>
      </c>
      <c r="B180" s="63">
        <v>6.0</v>
      </c>
      <c r="C180" s="59" t="s">
        <v>96</v>
      </c>
      <c r="D180" s="58"/>
      <c r="E180" s="59">
        <v>43.24</v>
      </c>
      <c r="F180" s="26">
        <v>0.0029</v>
      </c>
      <c r="G180" s="25">
        <v>7.08</v>
      </c>
      <c r="H180" s="27">
        <f t="shared" si="11"/>
        <v>50.32</v>
      </c>
      <c r="I180" s="28"/>
    </row>
    <row r="181">
      <c r="A181" s="29"/>
      <c r="B181" s="29"/>
      <c r="C181" s="59" t="s">
        <v>97</v>
      </c>
      <c r="D181" s="58"/>
      <c r="E181" s="59">
        <v>108.7</v>
      </c>
      <c r="F181" s="26">
        <v>0.00745</v>
      </c>
      <c r="G181" s="25">
        <v>18.23</v>
      </c>
      <c r="H181" s="27">
        <f t="shared" si="11"/>
        <v>126.93</v>
      </c>
      <c r="I181" s="28"/>
    </row>
    <row r="182">
      <c r="A182" s="29"/>
      <c r="B182" s="29"/>
      <c r="C182" s="59" t="s">
        <v>98</v>
      </c>
      <c r="D182" s="58"/>
      <c r="E182" s="59">
        <v>69.69</v>
      </c>
      <c r="F182" s="26">
        <v>0.0049</v>
      </c>
      <c r="G182" s="25">
        <v>11.99</v>
      </c>
      <c r="H182" s="27">
        <f t="shared" si="11"/>
        <v>81.68</v>
      </c>
      <c r="I182" s="28"/>
    </row>
    <row r="183">
      <c r="A183" s="31"/>
      <c r="B183" s="31"/>
      <c r="C183" s="59" t="s">
        <v>99</v>
      </c>
      <c r="D183" s="58"/>
      <c r="E183" s="59">
        <v>97.15</v>
      </c>
      <c r="F183" s="26">
        <v>0.00648</v>
      </c>
      <c r="G183" s="25">
        <v>15.86</v>
      </c>
      <c r="H183" s="27">
        <f t="shared" si="11"/>
        <v>113.01</v>
      </c>
      <c r="I183" s="28"/>
    </row>
    <row r="184">
      <c r="A184" s="62" t="s">
        <v>101</v>
      </c>
      <c r="B184" s="63">
        <v>9.0</v>
      </c>
      <c r="C184" s="59" t="s">
        <v>102</v>
      </c>
      <c r="D184" s="58"/>
      <c r="E184" s="59">
        <v>43.24</v>
      </c>
      <c r="F184" s="26">
        <v>0.0029</v>
      </c>
      <c r="G184" s="25">
        <v>7.08</v>
      </c>
      <c r="H184" s="27">
        <f t="shared" si="11"/>
        <v>50.32</v>
      </c>
      <c r="I184" s="28"/>
    </row>
    <row r="185">
      <c r="A185" s="29"/>
      <c r="B185" s="29"/>
      <c r="C185" s="59" t="s">
        <v>103</v>
      </c>
      <c r="D185" s="58"/>
      <c r="E185" s="59">
        <v>108.7</v>
      </c>
      <c r="F185" s="26">
        <v>0.00745</v>
      </c>
      <c r="G185" s="25">
        <v>18.23</v>
      </c>
      <c r="H185" s="27">
        <f t="shared" si="11"/>
        <v>126.93</v>
      </c>
      <c r="I185" s="28"/>
    </row>
    <row r="186">
      <c r="A186" s="29"/>
      <c r="B186" s="29"/>
      <c r="C186" s="59" t="s">
        <v>104</v>
      </c>
      <c r="D186" s="58"/>
      <c r="E186" s="59">
        <v>69.69</v>
      </c>
      <c r="F186" s="26">
        <v>0.0049</v>
      </c>
      <c r="G186" s="25">
        <v>11.99</v>
      </c>
      <c r="H186" s="27">
        <f t="shared" si="11"/>
        <v>81.68</v>
      </c>
      <c r="I186" s="28"/>
    </row>
    <row r="187">
      <c r="A187" s="31"/>
      <c r="B187" s="31"/>
      <c r="C187" s="59" t="s">
        <v>105</v>
      </c>
      <c r="D187" s="58"/>
      <c r="E187" s="59">
        <v>97.15</v>
      </c>
      <c r="F187" s="26">
        <v>0.00648</v>
      </c>
      <c r="G187" s="25">
        <v>15.86</v>
      </c>
      <c r="H187" s="27">
        <f t="shared" si="11"/>
        <v>113.01</v>
      </c>
      <c r="I187" s="28"/>
    </row>
    <row r="188">
      <c r="A188" s="62" t="s">
        <v>107</v>
      </c>
      <c r="B188" s="63">
        <v>12.0</v>
      </c>
      <c r="C188" s="59" t="s">
        <v>108</v>
      </c>
      <c r="D188" s="58"/>
      <c r="E188" s="59">
        <v>43.24</v>
      </c>
      <c r="F188" s="26">
        <v>0.0029</v>
      </c>
      <c r="G188" s="25">
        <v>7.08</v>
      </c>
      <c r="H188" s="27">
        <f t="shared" si="11"/>
        <v>50.32</v>
      </c>
      <c r="I188" s="28"/>
    </row>
    <row r="189">
      <c r="A189" s="29"/>
      <c r="B189" s="29"/>
      <c r="C189" s="59" t="s">
        <v>109</v>
      </c>
      <c r="D189" s="58"/>
      <c r="E189" s="59">
        <v>108.7</v>
      </c>
      <c r="F189" s="26">
        <v>0.00745</v>
      </c>
      <c r="G189" s="25">
        <v>18.23</v>
      </c>
      <c r="H189" s="27">
        <f t="shared" si="11"/>
        <v>126.93</v>
      </c>
      <c r="I189" s="28"/>
    </row>
    <row r="190">
      <c r="A190" s="29"/>
      <c r="B190" s="29"/>
      <c r="C190" s="59" t="s">
        <v>125</v>
      </c>
      <c r="D190" s="58"/>
      <c r="E190" s="59">
        <v>69.69</v>
      </c>
      <c r="F190" s="26">
        <v>0.0049</v>
      </c>
      <c r="G190" s="25">
        <v>11.99</v>
      </c>
      <c r="H190" s="27">
        <f t="shared" si="11"/>
        <v>81.68</v>
      </c>
      <c r="I190" s="28"/>
    </row>
    <row r="191">
      <c r="A191" s="31"/>
      <c r="B191" s="31"/>
      <c r="C191" s="59" t="s">
        <v>111</v>
      </c>
      <c r="D191" s="58"/>
      <c r="E191" s="59">
        <v>97.15</v>
      </c>
      <c r="F191" s="26">
        <v>0.00648</v>
      </c>
      <c r="G191" s="25">
        <v>15.86</v>
      </c>
      <c r="H191" s="27">
        <f t="shared" si="11"/>
        <v>113.01</v>
      </c>
      <c r="I191" s="28"/>
    </row>
    <row r="192">
      <c r="A192" s="62" t="s">
        <v>113</v>
      </c>
      <c r="B192" s="63">
        <v>15.0</v>
      </c>
      <c r="C192" s="59" t="s">
        <v>114</v>
      </c>
      <c r="D192" s="58"/>
      <c r="E192" s="59">
        <v>43.56</v>
      </c>
      <c r="F192" s="26">
        <v>0.00292</v>
      </c>
      <c r="G192" s="25">
        <v>7.13</v>
      </c>
      <c r="H192" s="27">
        <f t="shared" si="11"/>
        <v>50.69</v>
      </c>
      <c r="I192" s="28"/>
    </row>
    <row r="193">
      <c r="A193" s="29"/>
      <c r="B193" s="29"/>
      <c r="C193" s="59" t="s">
        <v>115</v>
      </c>
      <c r="D193" s="58"/>
      <c r="E193" s="59">
        <v>104.19</v>
      </c>
      <c r="F193" s="26">
        <v>0.00714</v>
      </c>
      <c r="G193" s="25">
        <v>17.47</v>
      </c>
      <c r="H193" s="27">
        <f t="shared" si="11"/>
        <v>121.66</v>
      </c>
      <c r="I193" s="28"/>
    </row>
    <row r="194">
      <c r="A194" s="29"/>
      <c r="B194" s="29"/>
      <c r="C194" s="59" t="s">
        <v>116</v>
      </c>
      <c r="D194" s="58"/>
      <c r="E194" s="59">
        <v>67.12</v>
      </c>
      <c r="F194" s="26">
        <v>0.00472</v>
      </c>
      <c r="G194" s="25">
        <v>11.55</v>
      </c>
      <c r="H194" s="27">
        <f t="shared" si="11"/>
        <v>78.67</v>
      </c>
      <c r="I194" s="28"/>
    </row>
    <row r="195">
      <c r="A195" s="31"/>
      <c r="B195" s="31"/>
      <c r="C195" s="59" t="s">
        <v>117</v>
      </c>
      <c r="D195" s="58"/>
      <c r="E195" s="59">
        <v>95.22</v>
      </c>
      <c r="F195" s="26">
        <v>0.00635</v>
      </c>
      <c r="G195" s="25">
        <v>15.55</v>
      </c>
      <c r="H195" s="27">
        <f t="shared" si="11"/>
        <v>110.77</v>
      </c>
      <c r="I195" s="28"/>
    </row>
    <row r="196">
      <c r="A196" s="62" t="s">
        <v>118</v>
      </c>
      <c r="B196" s="63">
        <v>18.0</v>
      </c>
      <c r="C196" s="59" t="s">
        <v>119</v>
      </c>
      <c r="D196" s="58"/>
      <c r="E196" s="59">
        <v>133.56</v>
      </c>
      <c r="F196" s="26">
        <v>0.00971</v>
      </c>
      <c r="G196" s="25">
        <v>23.76</v>
      </c>
      <c r="H196" s="27">
        <f t="shared" si="11"/>
        <v>157.32</v>
      </c>
      <c r="I196" s="28"/>
    </row>
    <row r="197">
      <c r="A197" s="29"/>
      <c r="B197" s="29"/>
      <c r="C197" s="59" t="s">
        <v>120</v>
      </c>
      <c r="D197" s="58"/>
      <c r="E197" s="59">
        <v>66.99</v>
      </c>
      <c r="F197" s="26">
        <v>0.00471</v>
      </c>
      <c r="G197" s="25">
        <v>11.53</v>
      </c>
      <c r="H197" s="27">
        <f t="shared" si="11"/>
        <v>78.52</v>
      </c>
      <c r="I197" s="28"/>
    </row>
    <row r="198">
      <c r="A198" s="31"/>
      <c r="B198" s="31"/>
      <c r="C198" s="59" t="s">
        <v>121</v>
      </c>
      <c r="D198" s="58"/>
      <c r="E198" s="59">
        <v>85.25</v>
      </c>
      <c r="F198" s="26">
        <v>0.00641</v>
      </c>
      <c r="G198" s="25">
        <v>15.67</v>
      </c>
      <c r="H198" s="27">
        <f t="shared" si="11"/>
        <v>100.92</v>
      </c>
      <c r="I198" s="28"/>
    </row>
    <row r="199">
      <c r="A199" s="32" t="s">
        <v>143</v>
      </c>
      <c r="B199" s="20"/>
      <c r="C199" s="20"/>
      <c r="D199" s="33"/>
      <c r="E199" s="59">
        <f>sum(E172:E198)</f>
        <v>2138.85</v>
      </c>
      <c r="F199" s="26">
        <f>SUM(F172:F198)</f>
        <v>0.14565</v>
      </c>
      <c r="G199" s="25">
        <f t="shared" ref="G199:H199" si="12">sum(G172:G198)</f>
        <v>357.66</v>
      </c>
      <c r="H199" s="27">
        <f t="shared" si="12"/>
        <v>2496.51</v>
      </c>
      <c r="I199" s="28"/>
    </row>
    <row r="200">
      <c r="A200" s="60" t="s">
        <v>144</v>
      </c>
      <c r="B200" s="61"/>
      <c r="C200" s="61"/>
      <c r="D200" s="38"/>
      <c r="E200" s="61"/>
      <c r="F200" s="38"/>
      <c r="G200" s="38"/>
      <c r="H200" s="39"/>
      <c r="I200" s="4"/>
    </row>
    <row r="201">
      <c r="A201" s="62" t="s">
        <v>124</v>
      </c>
      <c r="B201" s="63">
        <v>0.0</v>
      </c>
      <c r="C201" s="59" t="s">
        <v>82</v>
      </c>
      <c r="D201" s="56" t="s">
        <v>81</v>
      </c>
      <c r="E201" s="59">
        <v>19.98</v>
      </c>
      <c r="F201" s="26">
        <v>0.00132</v>
      </c>
      <c r="G201" s="25">
        <v>3.27</v>
      </c>
      <c r="H201" s="27">
        <f t="shared" ref="H201:H249" si="13">E201+G201</f>
        <v>23.25</v>
      </c>
      <c r="I201" s="28"/>
    </row>
    <row r="202">
      <c r="A202" s="29"/>
      <c r="B202" s="29"/>
      <c r="C202" s="59" t="s">
        <v>87</v>
      </c>
      <c r="D202" s="58"/>
      <c r="E202" s="59">
        <v>107.11</v>
      </c>
      <c r="F202" s="26">
        <v>0.00687</v>
      </c>
      <c r="G202" s="25">
        <v>16.81</v>
      </c>
      <c r="H202" s="27">
        <f t="shared" si="13"/>
        <v>123.92</v>
      </c>
      <c r="I202" s="28"/>
    </row>
    <row r="203">
      <c r="A203" s="31"/>
      <c r="B203" s="31"/>
      <c r="C203" s="59" t="s">
        <v>88</v>
      </c>
      <c r="D203" s="58"/>
      <c r="E203" s="59">
        <v>113.57</v>
      </c>
      <c r="F203" s="26">
        <v>0.00728</v>
      </c>
      <c r="G203" s="25">
        <v>17.82</v>
      </c>
      <c r="H203" s="27">
        <f t="shared" si="13"/>
        <v>131.39</v>
      </c>
      <c r="I203" s="28"/>
    </row>
    <row r="204">
      <c r="A204" s="62" t="s">
        <v>89</v>
      </c>
      <c r="B204" s="63">
        <v>3.0</v>
      </c>
      <c r="C204" s="59" t="s">
        <v>90</v>
      </c>
      <c r="D204" s="58"/>
      <c r="E204" s="59">
        <v>43.24</v>
      </c>
      <c r="F204" s="26">
        <v>0.0029</v>
      </c>
      <c r="G204" s="25">
        <v>7.08</v>
      </c>
      <c r="H204" s="27">
        <f t="shared" si="13"/>
        <v>50.32</v>
      </c>
      <c r="I204" s="28"/>
    </row>
    <row r="205">
      <c r="A205" s="29"/>
      <c r="B205" s="29"/>
      <c r="C205" s="59" t="s">
        <v>91</v>
      </c>
      <c r="D205" s="58"/>
      <c r="E205" s="59">
        <v>108.7</v>
      </c>
      <c r="F205" s="26">
        <v>0.0073</v>
      </c>
      <c r="G205" s="25">
        <v>18.23</v>
      </c>
      <c r="H205" s="27">
        <f t="shared" si="13"/>
        <v>126.93</v>
      </c>
      <c r="I205" s="28"/>
    </row>
    <row r="206">
      <c r="A206" s="29"/>
      <c r="B206" s="29"/>
      <c r="C206" s="59" t="s">
        <v>92</v>
      </c>
      <c r="D206" s="58"/>
      <c r="E206" s="59">
        <v>69.69</v>
      </c>
      <c r="F206" s="26">
        <v>0.0048</v>
      </c>
      <c r="G206" s="25">
        <v>11.99</v>
      </c>
      <c r="H206" s="27">
        <f t="shared" si="13"/>
        <v>81.68</v>
      </c>
      <c r="I206" s="28"/>
    </row>
    <row r="207">
      <c r="A207" s="31"/>
      <c r="B207" s="31"/>
      <c r="C207" s="59" t="s">
        <v>93</v>
      </c>
      <c r="D207" s="58"/>
      <c r="E207" s="59">
        <v>98.71</v>
      </c>
      <c r="F207" s="26">
        <v>0.00632</v>
      </c>
      <c r="G207" s="25">
        <v>16.12</v>
      </c>
      <c r="H207" s="27">
        <f t="shared" si="13"/>
        <v>114.83</v>
      </c>
      <c r="I207" s="28"/>
    </row>
    <row r="208">
      <c r="A208" s="62" t="s">
        <v>95</v>
      </c>
      <c r="B208" s="63">
        <v>6.0</v>
      </c>
      <c r="C208" s="59" t="s">
        <v>96</v>
      </c>
      <c r="D208" s="58"/>
      <c r="E208" s="59">
        <v>43.24</v>
      </c>
      <c r="F208" s="26">
        <v>0.0029</v>
      </c>
      <c r="G208" s="25">
        <v>7.08</v>
      </c>
      <c r="H208" s="27">
        <f t="shared" si="13"/>
        <v>50.32</v>
      </c>
      <c r="I208" s="28"/>
    </row>
    <row r="209">
      <c r="A209" s="29"/>
      <c r="B209" s="29"/>
      <c r="C209" s="59" t="s">
        <v>97</v>
      </c>
      <c r="D209" s="58"/>
      <c r="E209" s="59">
        <v>108.7</v>
      </c>
      <c r="F209" s="26">
        <v>0.00745</v>
      </c>
      <c r="G209" s="25">
        <v>18.23</v>
      </c>
      <c r="H209" s="27">
        <f t="shared" si="13"/>
        <v>126.93</v>
      </c>
      <c r="I209" s="28"/>
    </row>
    <row r="210">
      <c r="A210" s="29"/>
      <c r="B210" s="29"/>
      <c r="C210" s="59" t="s">
        <v>98</v>
      </c>
      <c r="D210" s="58"/>
      <c r="E210" s="59">
        <v>69.69</v>
      </c>
      <c r="F210" s="26">
        <v>0.0049</v>
      </c>
      <c r="G210" s="25">
        <v>11.99</v>
      </c>
      <c r="H210" s="27">
        <f t="shared" si="13"/>
        <v>81.68</v>
      </c>
      <c r="I210" s="28"/>
    </row>
    <row r="211">
      <c r="A211" s="31"/>
      <c r="B211" s="31"/>
      <c r="C211" s="59" t="s">
        <v>99</v>
      </c>
      <c r="D211" s="58"/>
      <c r="E211" s="59">
        <v>98.71</v>
      </c>
      <c r="F211" s="26">
        <v>0.00659</v>
      </c>
      <c r="G211" s="25">
        <v>16.12</v>
      </c>
      <c r="H211" s="27">
        <f t="shared" si="13"/>
        <v>114.83</v>
      </c>
      <c r="I211" s="28"/>
    </row>
    <row r="212">
      <c r="A212" s="62" t="s">
        <v>101</v>
      </c>
      <c r="B212" s="63">
        <v>9.0</v>
      </c>
      <c r="C212" s="59" t="s">
        <v>102</v>
      </c>
      <c r="D212" s="58"/>
      <c r="E212" s="59">
        <v>43.24</v>
      </c>
      <c r="F212" s="26">
        <v>0.0029</v>
      </c>
      <c r="G212" s="25">
        <v>7.08</v>
      </c>
      <c r="H212" s="27">
        <f t="shared" si="13"/>
        <v>50.32</v>
      </c>
      <c r="I212" s="28"/>
    </row>
    <row r="213">
      <c r="A213" s="29"/>
      <c r="B213" s="29"/>
      <c r="C213" s="59" t="s">
        <v>103</v>
      </c>
      <c r="D213" s="58"/>
      <c r="E213" s="59">
        <v>108.7</v>
      </c>
      <c r="F213" s="26">
        <v>0.00745</v>
      </c>
      <c r="G213" s="25">
        <v>18.23</v>
      </c>
      <c r="H213" s="27">
        <f t="shared" si="13"/>
        <v>126.93</v>
      </c>
      <c r="I213" s="28"/>
    </row>
    <row r="214">
      <c r="A214" s="29"/>
      <c r="B214" s="29"/>
      <c r="C214" s="59" t="s">
        <v>104</v>
      </c>
      <c r="D214" s="58"/>
      <c r="E214" s="59">
        <v>69.69</v>
      </c>
      <c r="F214" s="26">
        <v>0.0049</v>
      </c>
      <c r="G214" s="25">
        <v>11.99</v>
      </c>
      <c r="H214" s="27">
        <f t="shared" si="13"/>
        <v>81.68</v>
      </c>
      <c r="I214" s="28"/>
    </row>
    <row r="215">
      <c r="A215" s="31"/>
      <c r="B215" s="31"/>
      <c r="C215" s="59" t="s">
        <v>105</v>
      </c>
      <c r="D215" s="58"/>
      <c r="E215" s="59">
        <v>98.71</v>
      </c>
      <c r="F215" s="26">
        <v>0.00659</v>
      </c>
      <c r="G215" s="25">
        <v>16.12</v>
      </c>
      <c r="H215" s="27">
        <f t="shared" si="13"/>
        <v>114.83</v>
      </c>
      <c r="I215" s="28"/>
    </row>
    <row r="216">
      <c r="A216" s="62" t="s">
        <v>107</v>
      </c>
      <c r="B216" s="63">
        <v>12.0</v>
      </c>
      <c r="C216" s="59" t="s">
        <v>108</v>
      </c>
      <c r="D216" s="58"/>
      <c r="E216" s="59">
        <v>43.24</v>
      </c>
      <c r="F216" s="26">
        <v>0.0029</v>
      </c>
      <c r="G216" s="25">
        <v>7.08</v>
      </c>
      <c r="H216" s="27">
        <f t="shared" si="13"/>
        <v>50.32</v>
      </c>
      <c r="I216" s="28"/>
    </row>
    <row r="217">
      <c r="A217" s="29"/>
      <c r="B217" s="29"/>
      <c r="C217" s="59" t="s">
        <v>109</v>
      </c>
      <c r="D217" s="58"/>
      <c r="E217" s="59">
        <v>108.7</v>
      </c>
      <c r="F217" s="26">
        <v>0.00745</v>
      </c>
      <c r="G217" s="25">
        <v>18.23</v>
      </c>
      <c r="H217" s="27">
        <f t="shared" si="13"/>
        <v>126.93</v>
      </c>
      <c r="I217" s="64"/>
    </row>
    <row r="218">
      <c r="A218" s="29"/>
      <c r="B218" s="29"/>
      <c r="C218" s="59" t="s">
        <v>125</v>
      </c>
      <c r="D218" s="58"/>
      <c r="E218" s="59">
        <v>69.69</v>
      </c>
      <c r="F218" s="26">
        <v>0.0049</v>
      </c>
      <c r="G218" s="25">
        <v>11.99</v>
      </c>
      <c r="H218" s="27">
        <f t="shared" si="13"/>
        <v>81.68</v>
      </c>
      <c r="I218" s="28"/>
    </row>
    <row r="219">
      <c r="A219" s="31"/>
      <c r="B219" s="31"/>
      <c r="C219" s="59" t="s">
        <v>111</v>
      </c>
      <c r="D219" s="58"/>
      <c r="E219" s="59">
        <v>98.71</v>
      </c>
      <c r="F219" s="26">
        <v>0.00659</v>
      </c>
      <c r="G219" s="25">
        <v>16.12</v>
      </c>
      <c r="H219" s="27">
        <f t="shared" si="13"/>
        <v>114.83</v>
      </c>
      <c r="I219" s="28"/>
    </row>
    <row r="220">
      <c r="A220" s="62" t="s">
        <v>113</v>
      </c>
      <c r="B220" s="63">
        <v>15.0</v>
      </c>
      <c r="C220" s="59" t="s">
        <v>114</v>
      </c>
      <c r="D220" s="58"/>
      <c r="E220" s="59">
        <v>43.56</v>
      </c>
      <c r="F220" s="26">
        <v>0.00292</v>
      </c>
      <c r="G220" s="25">
        <v>7.13</v>
      </c>
      <c r="H220" s="27">
        <f t="shared" si="13"/>
        <v>50.69</v>
      </c>
      <c r="I220" s="28"/>
    </row>
    <row r="221">
      <c r="A221" s="29"/>
      <c r="B221" s="29"/>
      <c r="C221" s="59" t="s">
        <v>115</v>
      </c>
      <c r="D221" s="58"/>
      <c r="E221" s="59">
        <v>104.19</v>
      </c>
      <c r="F221" s="26">
        <v>0.00714</v>
      </c>
      <c r="G221" s="25">
        <v>17.47</v>
      </c>
      <c r="H221" s="27">
        <f t="shared" si="13"/>
        <v>121.66</v>
      </c>
      <c r="I221" s="28"/>
    </row>
    <row r="222">
      <c r="A222" s="29"/>
      <c r="B222" s="29"/>
      <c r="C222" s="59" t="s">
        <v>116</v>
      </c>
      <c r="D222" s="58"/>
      <c r="E222" s="59">
        <v>67.12</v>
      </c>
      <c r="F222" s="26">
        <v>0.00472</v>
      </c>
      <c r="G222" s="25">
        <v>11.55</v>
      </c>
      <c r="H222" s="27">
        <f t="shared" si="13"/>
        <v>78.67</v>
      </c>
      <c r="I222" s="28"/>
    </row>
    <row r="223">
      <c r="A223" s="31"/>
      <c r="B223" s="31"/>
      <c r="C223" s="59" t="s">
        <v>117</v>
      </c>
      <c r="D223" s="58"/>
      <c r="E223" s="59">
        <v>96.78</v>
      </c>
      <c r="F223" s="26">
        <v>0.00646</v>
      </c>
      <c r="G223" s="25">
        <v>15.8</v>
      </c>
      <c r="H223" s="27">
        <f t="shared" si="13"/>
        <v>112.58</v>
      </c>
      <c r="I223" s="28"/>
    </row>
    <row r="224">
      <c r="A224" s="62" t="s">
        <v>118</v>
      </c>
      <c r="B224" s="63">
        <v>18.0</v>
      </c>
      <c r="C224" s="59" t="s">
        <v>119</v>
      </c>
      <c r="D224" s="58"/>
      <c r="E224" s="59">
        <v>133.56</v>
      </c>
      <c r="F224" s="26">
        <v>0.00971</v>
      </c>
      <c r="G224" s="25">
        <v>23.76</v>
      </c>
      <c r="H224" s="27">
        <f t="shared" si="13"/>
        <v>157.32</v>
      </c>
      <c r="I224" s="28"/>
    </row>
    <row r="225">
      <c r="A225" s="29"/>
      <c r="B225" s="29"/>
      <c r="C225" s="59" t="s">
        <v>120</v>
      </c>
      <c r="D225" s="58"/>
      <c r="E225" s="59">
        <v>66.99</v>
      </c>
      <c r="F225" s="26">
        <v>0.00471</v>
      </c>
      <c r="G225" s="25">
        <v>11.53</v>
      </c>
      <c r="H225" s="27">
        <f t="shared" si="13"/>
        <v>78.52</v>
      </c>
      <c r="I225" s="28"/>
    </row>
    <row r="226">
      <c r="A226" s="31"/>
      <c r="B226" s="31"/>
      <c r="C226" s="59" t="s">
        <v>121</v>
      </c>
      <c r="D226" s="58"/>
      <c r="E226" s="59">
        <v>86.8</v>
      </c>
      <c r="F226" s="26">
        <v>0.00651</v>
      </c>
      <c r="G226" s="25">
        <v>15.93</v>
      </c>
      <c r="H226" s="27">
        <f t="shared" si="13"/>
        <v>102.73</v>
      </c>
      <c r="I226" s="28"/>
    </row>
    <row r="227">
      <c r="A227" s="62" t="s">
        <v>17</v>
      </c>
      <c r="B227" s="62">
        <v>-3.3</v>
      </c>
      <c r="C227" s="59" t="s">
        <v>126</v>
      </c>
      <c r="D227" s="56" t="s">
        <v>127</v>
      </c>
      <c r="E227" s="25">
        <v>3.8188888888888886</v>
      </c>
      <c r="F227" s="26">
        <v>7.0E-5</v>
      </c>
      <c r="G227" s="25">
        <v>0.17888888888888888</v>
      </c>
      <c r="H227" s="27">
        <f t="shared" si="13"/>
        <v>3.997777778</v>
      </c>
      <c r="I227" s="28"/>
    </row>
    <row r="228">
      <c r="A228" s="29"/>
      <c r="B228" s="29"/>
      <c r="C228" s="59" t="s">
        <v>128</v>
      </c>
      <c r="D228" s="56" t="s">
        <v>127</v>
      </c>
      <c r="E228" s="25">
        <v>3.2733333333333334</v>
      </c>
      <c r="F228" s="26">
        <v>6.0E-5</v>
      </c>
      <c r="G228" s="25">
        <v>0.15333333333333335</v>
      </c>
      <c r="H228" s="27">
        <f t="shared" si="13"/>
        <v>3.426666667</v>
      </c>
      <c r="I228" s="28"/>
    </row>
    <row r="229">
      <c r="A229" s="29"/>
      <c r="B229" s="29"/>
      <c r="C229" s="59" t="s">
        <v>129</v>
      </c>
      <c r="D229" s="56" t="s">
        <v>127</v>
      </c>
      <c r="E229" s="57">
        <v>4.29</v>
      </c>
      <c r="F229" s="26">
        <v>8.0E-5</v>
      </c>
      <c r="G229" s="25">
        <v>0.20444444444444446</v>
      </c>
      <c r="H229" s="27">
        <f t="shared" si="13"/>
        <v>4.494444444</v>
      </c>
      <c r="I229" s="28"/>
    </row>
    <row r="230">
      <c r="A230" s="29"/>
      <c r="B230" s="29"/>
      <c r="C230" s="59" t="s">
        <v>130</v>
      </c>
      <c r="D230" s="56" t="s">
        <v>127</v>
      </c>
      <c r="E230" s="25">
        <v>4.91</v>
      </c>
      <c r="F230" s="26">
        <v>9.0E-5</v>
      </c>
      <c r="G230" s="25">
        <v>0.23</v>
      </c>
      <c r="H230" s="27">
        <f t="shared" si="13"/>
        <v>5.14</v>
      </c>
      <c r="I230" s="28"/>
    </row>
    <row r="231">
      <c r="A231" s="29"/>
      <c r="B231" s="29"/>
      <c r="C231" s="59" t="s">
        <v>131</v>
      </c>
      <c r="D231" s="56" t="s">
        <v>127</v>
      </c>
      <c r="E231" s="25">
        <v>5.455555555555556</v>
      </c>
      <c r="F231" s="26">
        <v>1.0E-4</v>
      </c>
      <c r="G231" s="25">
        <v>0.2555555555555556</v>
      </c>
      <c r="H231" s="27">
        <f t="shared" si="13"/>
        <v>5.711111111</v>
      </c>
      <c r="I231" s="28"/>
    </row>
    <row r="232">
      <c r="A232" s="29"/>
      <c r="B232" s="29"/>
      <c r="C232" s="59" t="s">
        <v>132</v>
      </c>
      <c r="D232" s="56" t="s">
        <v>127</v>
      </c>
      <c r="E232" s="25">
        <v>2.1822222222222223</v>
      </c>
      <c r="F232" s="26">
        <v>4.0E-5</v>
      </c>
      <c r="G232" s="25">
        <v>0.10222222222222223</v>
      </c>
      <c r="H232" s="27">
        <f t="shared" si="13"/>
        <v>2.284444444</v>
      </c>
      <c r="I232" s="28"/>
    </row>
    <row r="233">
      <c r="A233" s="29"/>
      <c r="B233" s="29"/>
      <c r="C233" s="59" t="s">
        <v>134</v>
      </c>
      <c r="D233" s="56" t="s">
        <v>127</v>
      </c>
      <c r="E233" s="25">
        <v>2.1822222222222223</v>
      </c>
      <c r="F233" s="26">
        <v>4.0E-5</v>
      </c>
      <c r="G233" s="25">
        <v>0.10222222222222223</v>
      </c>
      <c r="H233" s="27">
        <f t="shared" si="13"/>
        <v>2.284444444</v>
      </c>
      <c r="I233" s="28"/>
    </row>
    <row r="234">
      <c r="A234" s="29"/>
      <c r="B234" s="29"/>
      <c r="C234" s="59" t="s">
        <v>135</v>
      </c>
      <c r="D234" s="56" t="s">
        <v>127</v>
      </c>
      <c r="E234" s="25">
        <v>2.727777777777778</v>
      </c>
      <c r="F234" s="26">
        <v>5.0E-5</v>
      </c>
      <c r="G234" s="25">
        <v>0.1277777777777778</v>
      </c>
      <c r="H234" s="27">
        <f t="shared" si="13"/>
        <v>2.855555556</v>
      </c>
      <c r="I234" s="28"/>
    </row>
    <row r="235">
      <c r="A235" s="29"/>
      <c r="B235" s="29"/>
      <c r="C235" s="59" t="s">
        <v>136</v>
      </c>
      <c r="D235" s="56" t="s">
        <v>127</v>
      </c>
      <c r="E235" s="25">
        <v>3.8188888888888886</v>
      </c>
      <c r="F235" s="26">
        <v>7.0E-5</v>
      </c>
      <c r="G235" s="25">
        <v>0.17888888888888888</v>
      </c>
      <c r="H235" s="27">
        <f t="shared" si="13"/>
        <v>3.997777778</v>
      </c>
      <c r="I235" s="28"/>
    </row>
    <row r="236">
      <c r="A236" s="29"/>
      <c r="B236" s="29"/>
      <c r="C236" s="59" t="s">
        <v>145</v>
      </c>
      <c r="D236" s="56" t="s">
        <v>127</v>
      </c>
      <c r="E236" s="25">
        <v>3.8188888888888886</v>
      </c>
      <c r="F236" s="26">
        <v>7.0E-5</v>
      </c>
      <c r="G236" s="25">
        <v>0.17888888888888888</v>
      </c>
      <c r="H236" s="27">
        <f t="shared" si="13"/>
        <v>3.997777778</v>
      </c>
      <c r="I236" s="28"/>
    </row>
    <row r="237">
      <c r="A237" s="29"/>
      <c r="B237" s="29"/>
      <c r="C237" s="59" t="s">
        <v>139</v>
      </c>
      <c r="D237" s="56" t="s">
        <v>127</v>
      </c>
      <c r="E237" s="25">
        <v>4.91</v>
      </c>
      <c r="F237" s="26">
        <v>9.0E-5</v>
      </c>
      <c r="G237" s="25">
        <v>0.23</v>
      </c>
      <c r="H237" s="27">
        <f t="shared" si="13"/>
        <v>5.14</v>
      </c>
      <c r="I237" s="28"/>
    </row>
    <row r="238">
      <c r="A238" s="29"/>
      <c r="B238" s="29"/>
      <c r="C238" s="59" t="s">
        <v>140</v>
      </c>
      <c r="D238" s="56" t="s">
        <v>127</v>
      </c>
      <c r="E238" s="25">
        <v>5.455555555555556</v>
      </c>
      <c r="F238" s="26">
        <v>1.0E-4</v>
      </c>
      <c r="G238" s="25">
        <v>0.2555555555555556</v>
      </c>
      <c r="H238" s="27">
        <f t="shared" si="13"/>
        <v>5.711111111</v>
      </c>
      <c r="I238" s="28"/>
    </row>
    <row r="239">
      <c r="A239" s="29"/>
      <c r="B239" s="29"/>
      <c r="C239" s="59" t="s">
        <v>146</v>
      </c>
      <c r="D239" s="56" t="s">
        <v>127</v>
      </c>
      <c r="E239" s="25">
        <v>4.91</v>
      </c>
      <c r="F239" s="26">
        <v>9.0E-5</v>
      </c>
      <c r="G239" s="25">
        <v>0.23</v>
      </c>
      <c r="H239" s="27">
        <f t="shared" si="13"/>
        <v>5.14</v>
      </c>
      <c r="I239" s="28"/>
    </row>
    <row r="240">
      <c r="A240" s="29"/>
      <c r="B240" s="29"/>
      <c r="C240" s="59" t="s">
        <v>147</v>
      </c>
      <c r="D240" s="56" t="s">
        <v>127</v>
      </c>
      <c r="E240" s="25">
        <v>2.1822222222222223</v>
      </c>
      <c r="F240" s="26" t="s">
        <v>148</v>
      </c>
      <c r="G240" s="25">
        <v>0.10222222222222223</v>
      </c>
      <c r="H240" s="27">
        <f t="shared" si="13"/>
        <v>2.284444444</v>
      </c>
      <c r="I240" s="28"/>
    </row>
    <row r="241">
      <c r="A241" s="29"/>
      <c r="B241" s="29"/>
      <c r="C241" s="59" t="s">
        <v>149</v>
      </c>
      <c r="D241" s="56" t="s">
        <v>127</v>
      </c>
      <c r="E241" s="25">
        <v>2.1822222222222223</v>
      </c>
      <c r="F241" s="26">
        <v>4.0E-5</v>
      </c>
      <c r="G241" s="25">
        <v>0.10222222222222223</v>
      </c>
      <c r="H241" s="27">
        <f t="shared" si="13"/>
        <v>2.284444444</v>
      </c>
      <c r="I241" s="28"/>
    </row>
    <row r="242">
      <c r="A242" s="29"/>
      <c r="B242" s="29"/>
      <c r="C242" s="59" t="s">
        <v>150</v>
      </c>
      <c r="D242" s="56" t="s">
        <v>127</v>
      </c>
      <c r="E242" s="25">
        <v>5.455555555555556</v>
      </c>
      <c r="F242" s="26">
        <v>1.0E-4</v>
      </c>
      <c r="G242" s="25">
        <v>0.2555555555555556</v>
      </c>
      <c r="H242" s="27">
        <f t="shared" si="13"/>
        <v>5.711111111</v>
      </c>
      <c r="I242" s="28"/>
    </row>
    <row r="243">
      <c r="A243" s="29"/>
      <c r="B243" s="29"/>
      <c r="C243" s="59" t="s">
        <v>151</v>
      </c>
      <c r="D243" s="56" t="s">
        <v>127</v>
      </c>
      <c r="E243" s="25">
        <v>5.455555555555556</v>
      </c>
      <c r="F243" s="26">
        <v>1.0E-4</v>
      </c>
      <c r="G243" s="25">
        <v>0.2555555555555556</v>
      </c>
      <c r="H243" s="27">
        <f t="shared" si="13"/>
        <v>5.711111111</v>
      </c>
      <c r="I243" s="28"/>
    </row>
    <row r="244">
      <c r="A244" s="29"/>
      <c r="B244" s="29"/>
      <c r="C244" s="59" t="s">
        <v>152</v>
      </c>
      <c r="D244" s="56" t="s">
        <v>127</v>
      </c>
      <c r="E244" s="25">
        <v>4.91</v>
      </c>
      <c r="F244" s="26">
        <v>9.0E-5</v>
      </c>
      <c r="G244" s="25">
        <v>0.23</v>
      </c>
      <c r="H244" s="27">
        <f t="shared" si="13"/>
        <v>5.14</v>
      </c>
      <c r="I244" s="28"/>
    </row>
    <row r="245">
      <c r="A245" s="29"/>
      <c r="B245" s="29"/>
      <c r="C245" s="59" t="s">
        <v>153</v>
      </c>
      <c r="D245" s="56" t="s">
        <v>127</v>
      </c>
      <c r="E245" s="25">
        <v>3.8188888888888886</v>
      </c>
      <c r="F245" s="26">
        <v>7.0E-5</v>
      </c>
      <c r="G245" s="25">
        <v>0.17888888888888888</v>
      </c>
      <c r="H245" s="27">
        <f t="shared" si="13"/>
        <v>3.997777778</v>
      </c>
      <c r="I245" s="28"/>
    </row>
    <row r="246">
      <c r="A246" s="29"/>
      <c r="B246" s="29"/>
      <c r="C246" s="59" t="s">
        <v>154</v>
      </c>
      <c r="D246" s="56" t="s">
        <v>127</v>
      </c>
      <c r="E246" s="25">
        <v>4.91</v>
      </c>
      <c r="F246" s="26">
        <v>9.0E-5</v>
      </c>
      <c r="G246" s="25">
        <v>0.23</v>
      </c>
      <c r="H246" s="27">
        <f t="shared" si="13"/>
        <v>5.14</v>
      </c>
      <c r="I246" s="28"/>
    </row>
    <row r="247">
      <c r="A247" s="29"/>
      <c r="B247" s="29"/>
      <c r="C247" s="59" t="s">
        <v>155</v>
      </c>
      <c r="D247" s="56" t="s">
        <v>127</v>
      </c>
      <c r="E247" s="25">
        <v>4.91</v>
      </c>
      <c r="F247" s="26">
        <v>9.0E-5</v>
      </c>
      <c r="G247" s="25">
        <v>0.23</v>
      </c>
      <c r="H247" s="27">
        <f t="shared" si="13"/>
        <v>5.14</v>
      </c>
      <c r="I247" s="28"/>
    </row>
    <row r="248">
      <c r="A248" s="29"/>
      <c r="B248" s="29"/>
      <c r="C248" s="59" t="s">
        <v>156</v>
      </c>
      <c r="D248" s="56" t="s">
        <v>127</v>
      </c>
      <c r="E248" s="25">
        <v>4.91</v>
      </c>
      <c r="F248" s="26">
        <v>9.0E-5</v>
      </c>
      <c r="G248" s="25">
        <v>0.23</v>
      </c>
      <c r="H248" s="27">
        <f t="shared" si="13"/>
        <v>5.14</v>
      </c>
      <c r="I248" s="28"/>
    </row>
    <row r="249">
      <c r="A249" s="31"/>
      <c r="B249" s="31"/>
      <c r="C249" s="59" t="s">
        <v>157</v>
      </c>
      <c r="D249" s="56" t="s">
        <v>127</v>
      </c>
      <c r="E249" s="25">
        <v>2.727777777777778</v>
      </c>
      <c r="F249" s="26">
        <v>5.0E-5</v>
      </c>
      <c r="G249" s="25">
        <v>0.1277777777777778</v>
      </c>
      <c r="H249" s="27">
        <f t="shared" si="13"/>
        <v>2.855555556</v>
      </c>
      <c r="I249" s="28"/>
    </row>
    <row r="250">
      <c r="A250" s="32" t="s">
        <v>158</v>
      </c>
      <c r="B250" s="20"/>
      <c r="C250" s="20"/>
      <c r="D250" s="33"/>
      <c r="E250" s="65">
        <f>sum(E201:E249)</f>
        <v>2214.235556</v>
      </c>
      <c r="F250" s="34">
        <f>SUM(F201:F249)</f>
        <v>0.14615</v>
      </c>
      <c r="G250" s="25">
        <f t="shared" ref="G250:H250" si="14">sum(G201:G249)</f>
        <v>359.12</v>
      </c>
      <c r="H250" s="27">
        <f t="shared" si="14"/>
        <v>2573.355556</v>
      </c>
      <c r="I250" s="28"/>
    </row>
    <row r="251">
      <c r="A251" s="60" t="s">
        <v>159</v>
      </c>
      <c r="B251" s="61"/>
      <c r="C251" s="61"/>
      <c r="D251" s="38"/>
      <c r="E251" s="61"/>
      <c r="F251" s="38"/>
      <c r="G251" s="38"/>
      <c r="H251" s="39"/>
      <c r="I251" s="28"/>
    </row>
    <row r="252">
      <c r="A252" s="62" t="s">
        <v>124</v>
      </c>
      <c r="B252" s="63">
        <v>0.0</v>
      </c>
      <c r="C252" s="59" t="s">
        <v>82</v>
      </c>
      <c r="D252" s="56" t="s">
        <v>81</v>
      </c>
      <c r="E252" s="59">
        <v>20.89</v>
      </c>
      <c r="F252" s="26">
        <v>0.00139</v>
      </c>
      <c r="G252" s="25">
        <v>3.42</v>
      </c>
      <c r="H252" s="27">
        <f t="shared" ref="H252:H276" si="15">E252+G252</f>
        <v>24.31</v>
      </c>
      <c r="I252" s="28"/>
    </row>
    <row r="253">
      <c r="A253" s="29"/>
      <c r="B253" s="29"/>
      <c r="C253" s="59" t="s">
        <v>87</v>
      </c>
      <c r="D253" s="58"/>
      <c r="E253" s="59">
        <v>107.11</v>
      </c>
      <c r="F253" s="26">
        <v>0.00687</v>
      </c>
      <c r="G253" s="25">
        <v>16.81</v>
      </c>
      <c r="H253" s="27">
        <f t="shared" si="15"/>
        <v>123.92</v>
      </c>
      <c r="I253" s="28"/>
    </row>
    <row r="254">
      <c r="A254" s="31"/>
      <c r="B254" s="31"/>
      <c r="C254" s="59" t="s">
        <v>88</v>
      </c>
      <c r="D254" s="58"/>
      <c r="E254" s="59">
        <v>113.57</v>
      </c>
      <c r="F254" s="26">
        <v>0.00728</v>
      </c>
      <c r="G254" s="25">
        <v>17.82</v>
      </c>
      <c r="H254" s="27">
        <f t="shared" si="15"/>
        <v>131.39</v>
      </c>
      <c r="I254" s="28"/>
    </row>
    <row r="255">
      <c r="A255" s="62" t="s">
        <v>89</v>
      </c>
      <c r="B255" s="63">
        <v>3.0</v>
      </c>
      <c r="C255" s="59" t="s">
        <v>90</v>
      </c>
      <c r="D255" s="58"/>
      <c r="E255" s="59">
        <v>43.24</v>
      </c>
      <c r="F255" s="26">
        <v>0.0029</v>
      </c>
      <c r="G255" s="25">
        <v>7.08</v>
      </c>
      <c r="H255" s="27">
        <f t="shared" si="15"/>
        <v>50.32</v>
      </c>
      <c r="I255" s="28"/>
    </row>
    <row r="256">
      <c r="A256" s="29"/>
      <c r="B256" s="29"/>
      <c r="C256" s="59" t="s">
        <v>91</v>
      </c>
      <c r="D256" s="58"/>
      <c r="E256" s="59">
        <v>108.7</v>
      </c>
      <c r="F256" s="26">
        <v>0.0073</v>
      </c>
      <c r="G256" s="25">
        <v>18.23</v>
      </c>
      <c r="H256" s="27">
        <f t="shared" si="15"/>
        <v>126.93</v>
      </c>
      <c r="I256" s="28"/>
    </row>
    <row r="257">
      <c r="A257" s="29"/>
      <c r="B257" s="29"/>
      <c r="C257" s="59" t="s">
        <v>92</v>
      </c>
      <c r="D257" s="58"/>
      <c r="E257" s="59">
        <v>69.69</v>
      </c>
      <c r="F257" s="26">
        <v>0.0048</v>
      </c>
      <c r="G257" s="25">
        <v>11.99</v>
      </c>
      <c r="H257" s="27">
        <f t="shared" si="15"/>
        <v>81.68</v>
      </c>
      <c r="I257" s="28"/>
    </row>
    <row r="258">
      <c r="A258" s="31"/>
      <c r="B258" s="31"/>
      <c r="C258" s="59" t="s">
        <v>93</v>
      </c>
      <c r="D258" s="58"/>
      <c r="E258" s="59">
        <v>98.71</v>
      </c>
      <c r="F258" s="26">
        <v>0.00632</v>
      </c>
      <c r="G258" s="25">
        <v>16.12</v>
      </c>
      <c r="H258" s="27">
        <f t="shared" si="15"/>
        <v>114.83</v>
      </c>
      <c r="I258" s="28"/>
    </row>
    <row r="259">
      <c r="A259" s="62" t="s">
        <v>95</v>
      </c>
      <c r="B259" s="63">
        <v>6.0</v>
      </c>
      <c r="C259" s="59" t="s">
        <v>96</v>
      </c>
      <c r="D259" s="58"/>
      <c r="E259" s="59">
        <v>43.24</v>
      </c>
      <c r="F259" s="26">
        <v>0.0029</v>
      </c>
      <c r="G259" s="25">
        <v>7.08</v>
      </c>
      <c r="H259" s="27">
        <f t="shared" si="15"/>
        <v>50.32</v>
      </c>
      <c r="I259" s="28"/>
    </row>
    <row r="260">
      <c r="A260" s="29"/>
      <c r="B260" s="29"/>
      <c r="C260" s="59" t="s">
        <v>97</v>
      </c>
      <c r="D260" s="58"/>
      <c r="E260" s="59">
        <v>108.7</v>
      </c>
      <c r="F260" s="26">
        <v>0.00745</v>
      </c>
      <c r="G260" s="25">
        <v>18.23</v>
      </c>
      <c r="H260" s="27">
        <f t="shared" si="15"/>
        <v>126.93</v>
      </c>
      <c r="I260" s="28"/>
    </row>
    <row r="261">
      <c r="A261" s="29"/>
      <c r="B261" s="29"/>
      <c r="C261" s="59" t="s">
        <v>98</v>
      </c>
      <c r="D261" s="58"/>
      <c r="E261" s="59">
        <v>69.69</v>
      </c>
      <c r="F261" s="26">
        <v>0.0049</v>
      </c>
      <c r="G261" s="25">
        <v>11.99</v>
      </c>
      <c r="H261" s="27">
        <f t="shared" si="15"/>
        <v>81.68</v>
      </c>
      <c r="I261" s="28"/>
    </row>
    <row r="262">
      <c r="A262" s="31"/>
      <c r="B262" s="31"/>
      <c r="C262" s="59" t="s">
        <v>99</v>
      </c>
      <c r="D262" s="58"/>
      <c r="E262" s="59">
        <v>98.71</v>
      </c>
      <c r="F262" s="26">
        <v>0.00659</v>
      </c>
      <c r="G262" s="25">
        <v>16.12</v>
      </c>
      <c r="H262" s="27">
        <f t="shared" si="15"/>
        <v>114.83</v>
      </c>
      <c r="I262" s="28"/>
    </row>
    <row r="263">
      <c r="A263" s="62" t="s">
        <v>101</v>
      </c>
      <c r="B263" s="63">
        <v>9.0</v>
      </c>
      <c r="C263" s="59" t="s">
        <v>102</v>
      </c>
      <c r="D263" s="58"/>
      <c r="E263" s="59">
        <v>43.24</v>
      </c>
      <c r="F263" s="26">
        <v>0.0029</v>
      </c>
      <c r="G263" s="25">
        <v>7.08</v>
      </c>
      <c r="H263" s="27">
        <f t="shared" si="15"/>
        <v>50.32</v>
      </c>
      <c r="I263" s="28"/>
    </row>
    <row r="264">
      <c r="A264" s="29"/>
      <c r="B264" s="29"/>
      <c r="C264" s="59" t="s">
        <v>103</v>
      </c>
      <c r="D264" s="58"/>
      <c r="E264" s="59">
        <v>108.7</v>
      </c>
      <c r="F264" s="26">
        <v>0.00745</v>
      </c>
      <c r="G264" s="25">
        <v>18.23</v>
      </c>
      <c r="H264" s="27">
        <f t="shared" si="15"/>
        <v>126.93</v>
      </c>
      <c r="I264" s="28"/>
    </row>
    <row r="265">
      <c r="A265" s="29"/>
      <c r="B265" s="29"/>
      <c r="C265" s="59" t="s">
        <v>104</v>
      </c>
      <c r="D265" s="58"/>
      <c r="E265" s="59">
        <v>69.69</v>
      </c>
      <c r="F265" s="26">
        <v>0.0049</v>
      </c>
      <c r="G265" s="25">
        <v>11.99</v>
      </c>
      <c r="H265" s="27">
        <f t="shared" si="15"/>
        <v>81.68</v>
      </c>
      <c r="I265" s="28"/>
    </row>
    <row r="266">
      <c r="A266" s="31"/>
      <c r="B266" s="31"/>
      <c r="C266" s="59" t="s">
        <v>105</v>
      </c>
      <c r="D266" s="58"/>
      <c r="E266" s="59">
        <v>98.71</v>
      </c>
      <c r="F266" s="26">
        <v>0.00659</v>
      </c>
      <c r="G266" s="25">
        <v>16.12</v>
      </c>
      <c r="H266" s="27">
        <f t="shared" si="15"/>
        <v>114.83</v>
      </c>
      <c r="I266" s="28"/>
    </row>
    <row r="267">
      <c r="A267" s="62" t="s">
        <v>107</v>
      </c>
      <c r="B267" s="63">
        <v>12.0</v>
      </c>
      <c r="C267" s="59" t="s">
        <v>108</v>
      </c>
      <c r="D267" s="58"/>
      <c r="E267" s="59">
        <v>43.24</v>
      </c>
      <c r="F267" s="26">
        <v>0.0029</v>
      </c>
      <c r="G267" s="25">
        <v>7.08</v>
      </c>
      <c r="H267" s="27">
        <f t="shared" si="15"/>
        <v>50.32</v>
      </c>
      <c r="I267" s="28"/>
    </row>
    <row r="268">
      <c r="A268" s="29"/>
      <c r="B268" s="29"/>
      <c r="C268" s="59" t="s">
        <v>109</v>
      </c>
      <c r="D268" s="58"/>
      <c r="E268" s="59">
        <v>108.7</v>
      </c>
      <c r="F268" s="26">
        <v>0.00745</v>
      </c>
      <c r="G268" s="25">
        <v>18.23</v>
      </c>
      <c r="H268" s="27">
        <f t="shared" si="15"/>
        <v>126.93</v>
      </c>
      <c r="I268" s="28"/>
    </row>
    <row r="269">
      <c r="A269" s="29"/>
      <c r="B269" s="29"/>
      <c r="C269" s="59" t="s">
        <v>125</v>
      </c>
      <c r="D269" s="58"/>
      <c r="E269" s="59">
        <v>69.69</v>
      </c>
      <c r="F269" s="26">
        <v>0.0049</v>
      </c>
      <c r="G269" s="25">
        <v>11.99</v>
      </c>
      <c r="H269" s="27">
        <f t="shared" si="15"/>
        <v>81.68</v>
      </c>
      <c r="I269" s="28"/>
    </row>
    <row r="270">
      <c r="A270" s="31"/>
      <c r="B270" s="31"/>
      <c r="C270" s="59" t="s">
        <v>111</v>
      </c>
      <c r="D270" s="58"/>
      <c r="E270" s="59">
        <v>98.71</v>
      </c>
      <c r="F270" s="26">
        <v>0.00659</v>
      </c>
      <c r="G270" s="25">
        <v>16.12</v>
      </c>
      <c r="H270" s="27">
        <f t="shared" si="15"/>
        <v>114.83</v>
      </c>
      <c r="I270" s="28"/>
    </row>
    <row r="271">
      <c r="A271" s="62" t="s">
        <v>113</v>
      </c>
      <c r="B271" s="63">
        <v>15.0</v>
      </c>
      <c r="C271" s="59" t="s">
        <v>115</v>
      </c>
      <c r="D271" s="58"/>
      <c r="E271" s="59">
        <v>147.72</v>
      </c>
      <c r="F271" s="26">
        <v>0.01006</v>
      </c>
      <c r="G271" s="25">
        <v>24.63</v>
      </c>
      <c r="H271" s="27">
        <f t="shared" si="15"/>
        <v>172.35</v>
      </c>
      <c r="I271" s="28"/>
    </row>
    <row r="272">
      <c r="A272" s="29"/>
      <c r="B272" s="29"/>
      <c r="C272" s="59" t="s">
        <v>116</v>
      </c>
      <c r="D272" s="58"/>
      <c r="E272" s="59">
        <v>67.12</v>
      </c>
      <c r="F272" s="26">
        <v>0.00472</v>
      </c>
      <c r="G272" s="25">
        <v>11.55</v>
      </c>
      <c r="H272" s="27">
        <f t="shared" si="15"/>
        <v>78.67</v>
      </c>
      <c r="I272" s="28"/>
    </row>
    <row r="273">
      <c r="A273" s="31"/>
      <c r="B273" s="31"/>
      <c r="C273" s="59" t="s">
        <v>117</v>
      </c>
      <c r="D273" s="58"/>
      <c r="E273" s="59">
        <v>96.78</v>
      </c>
      <c r="F273" s="26">
        <v>0.00646</v>
      </c>
      <c r="G273" s="25">
        <v>15.8</v>
      </c>
      <c r="H273" s="27">
        <f t="shared" si="15"/>
        <v>112.58</v>
      </c>
      <c r="I273" s="28"/>
    </row>
    <row r="274">
      <c r="A274" s="62" t="s">
        <v>118</v>
      </c>
      <c r="B274" s="63">
        <v>18.0</v>
      </c>
      <c r="C274" s="59" t="s">
        <v>119</v>
      </c>
      <c r="D274" s="58"/>
      <c r="E274" s="59">
        <v>133.59</v>
      </c>
      <c r="F274" s="26">
        <v>0.00933</v>
      </c>
      <c r="G274" s="25">
        <v>22.81</v>
      </c>
      <c r="H274" s="27">
        <f t="shared" si="15"/>
        <v>156.4</v>
      </c>
      <c r="I274" s="28"/>
    </row>
    <row r="275">
      <c r="A275" s="29"/>
      <c r="B275" s="29"/>
      <c r="C275" s="59" t="s">
        <v>120</v>
      </c>
      <c r="D275" s="58"/>
      <c r="E275" s="59">
        <v>67.12</v>
      </c>
      <c r="F275" s="26">
        <v>0.00436</v>
      </c>
      <c r="G275" s="25">
        <v>11.55</v>
      </c>
      <c r="H275" s="27">
        <f t="shared" si="15"/>
        <v>78.67</v>
      </c>
      <c r="I275" s="28"/>
    </row>
    <row r="276">
      <c r="A276" s="31"/>
      <c r="B276" s="31"/>
      <c r="C276" s="59" t="s">
        <v>121</v>
      </c>
      <c r="D276" s="58"/>
      <c r="E276" s="59">
        <v>86.8</v>
      </c>
      <c r="F276" s="26">
        <v>0.00651</v>
      </c>
      <c r="G276" s="25">
        <v>15.93</v>
      </c>
      <c r="H276" s="27">
        <f t="shared" si="15"/>
        <v>102.73</v>
      </c>
      <c r="I276" s="28"/>
    </row>
    <row r="277">
      <c r="A277" s="32" t="s">
        <v>160</v>
      </c>
      <c r="B277" s="20"/>
      <c r="C277" s="20"/>
      <c r="D277" s="33"/>
      <c r="E277" s="59">
        <f>sum(E252:E276)</f>
        <v>2122.06</v>
      </c>
      <c r="F277" s="34">
        <f>SUM(F252:F276)</f>
        <v>0.14382</v>
      </c>
      <c r="G277" s="25">
        <f t="shared" ref="G277:H277" si="16">sum(G252:G276)</f>
        <v>354</v>
      </c>
      <c r="H277" s="27">
        <f t="shared" si="16"/>
        <v>2476.06</v>
      </c>
      <c r="I277" s="28"/>
    </row>
    <row r="278">
      <c r="A278" s="60" t="s">
        <v>161</v>
      </c>
      <c r="B278" s="61"/>
      <c r="C278" s="61"/>
      <c r="D278" s="38"/>
      <c r="E278" s="61"/>
      <c r="F278" s="38"/>
      <c r="G278" s="38"/>
      <c r="H278" s="39"/>
      <c r="I278" s="4"/>
    </row>
    <row r="279">
      <c r="A279" s="62" t="s">
        <v>79</v>
      </c>
      <c r="B279" s="63">
        <v>0.0</v>
      </c>
      <c r="C279" s="59" t="s">
        <v>80</v>
      </c>
      <c r="D279" s="56" t="s">
        <v>81</v>
      </c>
      <c r="E279" s="59">
        <v>19.98</v>
      </c>
      <c r="F279" s="26">
        <v>0.00132</v>
      </c>
      <c r="G279" s="25">
        <v>3.27</v>
      </c>
      <c r="H279" s="27">
        <f t="shared" ref="H279:H329" si="17">E279+G279</f>
        <v>23.25</v>
      </c>
      <c r="I279" s="28"/>
    </row>
    <row r="280">
      <c r="A280" s="29"/>
      <c r="B280" s="29"/>
      <c r="C280" s="59" t="s">
        <v>82</v>
      </c>
      <c r="D280" s="56" t="s">
        <v>81</v>
      </c>
      <c r="E280" s="59">
        <v>22.48</v>
      </c>
      <c r="F280" s="26">
        <v>0.00149</v>
      </c>
      <c r="G280" s="25">
        <v>3.65</v>
      </c>
      <c r="H280" s="27">
        <f t="shared" si="17"/>
        <v>26.13</v>
      </c>
      <c r="I280" s="28"/>
    </row>
    <row r="281">
      <c r="A281" s="29"/>
      <c r="B281" s="29"/>
      <c r="C281" s="59" t="s">
        <v>83</v>
      </c>
      <c r="D281" s="56" t="s">
        <v>81</v>
      </c>
      <c r="E281" s="59">
        <v>35.43</v>
      </c>
      <c r="F281" s="26">
        <v>0.00235</v>
      </c>
      <c r="G281" s="25">
        <v>5.8</v>
      </c>
      <c r="H281" s="27">
        <f t="shared" si="17"/>
        <v>41.23</v>
      </c>
      <c r="I281" s="28"/>
    </row>
    <row r="282">
      <c r="A282" s="29"/>
      <c r="B282" s="29"/>
      <c r="C282" s="59" t="s">
        <v>84</v>
      </c>
      <c r="D282" s="56" t="s">
        <v>81</v>
      </c>
      <c r="E282" s="59">
        <v>32.1</v>
      </c>
      <c r="F282" s="26">
        <v>0.00213</v>
      </c>
      <c r="G282" s="25">
        <v>5.26</v>
      </c>
      <c r="H282" s="27">
        <f t="shared" si="17"/>
        <v>37.36</v>
      </c>
      <c r="I282" s="28"/>
    </row>
    <row r="283">
      <c r="A283" s="29"/>
      <c r="B283" s="29"/>
      <c r="C283" s="59" t="s">
        <v>85</v>
      </c>
      <c r="D283" s="56" t="s">
        <v>81</v>
      </c>
      <c r="E283" s="59">
        <v>31.95</v>
      </c>
      <c r="F283" s="26">
        <v>0.00212</v>
      </c>
      <c r="G283" s="25">
        <v>5.23</v>
      </c>
      <c r="H283" s="27">
        <f t="shared" si="17"/>
        <v>37.18</v>
      </c>
      <c r="I283" s="28"/>
    </row>
    <row r="284">
      <c r="A284" s="29"/>
      <c r="B284" s="29"/>
      <c r="C284" s="57" t="s">
        <v>86</v>
      </c>
      <c r="D284" s="56" t="s">
        <v>81</v>
      </c>
      <c r="E284" s="59">
        <v>32.02</v>
      </c>
      <c r="F284" s="26">
        <v>0.00212</v>
      </c>
      <c r="G284" s="25">
        <v>5.24</v>
      </c>
      <c r="H284" s="27">
        <f t="shared" si="17"/>
        <v>37.26</v>
      </c>
      <c r="I284" s="28"/>
    </row>
    <row r="285">
      <c r="A285" s="29"/>
      <c r="B285" s="29"/>
      <c r="C285" s="59" t="s">
        <v>87</v>
      </c>
      <c r="D285" s="58"/>
      <c r="E285" s="59">
        <v>100.16</v>
      </c>
      <c r="F285" s="26">
        <v>0.00642</v>
      </c>
      <c r="G285" s="25">
        <v>15.72</v>
      </c>
      <c r="H285" s="27">
        <f t="shared" si="17"/>
        <v>115.88</v>
      </c>
      <c r="I285" s="28"/>
    </row>
    <row r="286">
      <c r="A286" s="31"/>
      <c r="B286" s="31"/>
      <c r="C286" s="59" t="s">
        <v>88</v>
      </c>
      <c r="D286" s="58"/>
      <c r="E286" s="59">
        <v>113.37</v>
      </c>
      <c r="F286" s="26">
        <v>0.00727</v>
      </c>
      <c r="G286" s="25">
        <v>17.79</v>
      </c>
      <c r="H286" s="27">
        <f t="shared" si="17"/>
        <v>131.16</v>
      </c>
      <c r="I286" s="28"/>
    </row>
    <row r="287">
      <c r="A287" s="62" t="s">
        <v>89</v>
      </c>
      <c r="B287" s="63">
        <v>3.0</v>
      </c>
      <c r="C287" s="59" t="s">
        <v>90</v>
      </c>
      <c r="D287" s="58"/>
      <c r="E287" s="59">
        <v>53.31</v>
      </c>
      <c r="F287" s="26">
        <v>0.00357</v>
      </c>
      <c r="G287" s="25">
        <v>8.73</v>
      </c>
      <c r="H287" s="27">
        <f t="shared" si="17"/>
        <v>62.04</v>
      </c>
      <c r="I287" s="28"/>
    </row>
    <row r="288">
      <c r="A288" s="29"/>
      <c r="B288" s="29"/>
      <c r="C288" s="59" t="s">
        <v>91</v>
      </c>
      <c r="D288" s="58"/>
      <c r="E288" s="59">
        <v>129.02</v>
      </c>
      <c r="F288" s="26">
        <v>0.00838</v>
      </c>
      <c r="G288" s="25">
        <v>21.35</v>
      </c>
      <c r="H288" s="27">
        <f t="shared" si="17"/>
        <v>150.37</v>
      </c>
      <c r="I288" s="28"/>
    </row>
    <row r="289">
      <c r="A289" s="29"/>
      <c r="B289" s="29"/>
      <c r="C289" s="59" t="s">
        <v>92</v>
      </c>
      <c r="D289" s="58"/>
      <c r="E289" s="59">
        <v>93.63</v>
      </c>
      <c r="F289" s="26">
        <v>0.00659</v>
      </c>
      <c r="G289" s="25">
        <v>16.11</v>
      </c>
      <c r="H289" s="27">
        <f t="shared" si="17"/>
        <v>109.74</v>
      </c>
      <c r="I289" s="28"/>
    </row>
    <row r="290">
      <c r="A290" s="29"/>
      <c r="B290" s="29"/>
      <c r="C290" s="59" t="s">
        <v>93</v>
      </c>
      <c r="D290" s="58"/>
      <c r="E290" s="59">
        <v>103.46</v>
      </c>
      <c r="F290" s="26">
        <v>0.00686</v>
      </c>
      <c r="G290" s="25">
        <v>16.78</v>
      </c>
      <c r="H290" s="27">
        <f t="shared" si="17"/>
        <v>120.24</v>
      </c>
      <c r="I290" s="28"/>
    </row>
    <row r="291">
      <c r="A291" s="31"/>
      <c r="B291" s="31"/>
      <c r="C291" s="59" t="s">
        <v>94</v>
      </c>
      <c r="D291" s="58"/>
      <c r="E291" s="59">
        <v>80.14</v>
      </c>
      <c r="F291" s="26">
        <v>0.00506</v>
      </c>
      <c r="G291" s="25">
        <v>12.96</v>
      </c>
      <c r="H291" s="27">
        <f t="shared" si="17"/>
        <v>93.1</v>
      </c>
      <c r="I291" s="28"/>
    </row>
    <row r="292">
      <c r="A292" s="62" t="s">
        <v>95</v>
      </c>
      <c r="B292" s="63">
        <v>6.0</v>
      </c>
      <c r="C292" s="59" t="s">
        <v>96</v>
      </c>
      <c r="D292" s="58"/>
      <c r="E292" s="59">
        <v>53.31</v>
      </c>
      <c r="F292" s="26">
        <v>0.00357</v>
      </c>
      <c r="G292" s="25">
        <v>8.73</v>
      </c>
      <c r="H292" s="27">
        <f t="shared" si="17"/>
        <v>62.04</v>
      </c>
      <c r="I292" s="28"/>
    </row>
    <row r="293">
      <c r="A293" s="29"/>
      <c r="B293" s="29"/>
      <c r="C293" s="59" t="s">
        <v>97</v>
      </c>
      <c r="D293" s="58"/>
      <c r="E293" s="59">
        <v>129.02</v>
      </c>
      <c r="F293" s="26">
        <v>0.00873</v>
      </c>
      <c r="G293" s="25">
        <v>21.35</v>
      </c>
      <c r="H293" s="27">
        <f t="shared" si="17"/>
        <v>150.37</v>
      </c>
      <c r="I293" s="28"/>
    </row>
    <row r="294">
      <c r="A294" s="29"/>
      <c r="B294" s="29"/>
      <c r="C294" s="59" t="s">
        <v>98</v>
      </c>
      <c r="D294" s="58"/>
      <c r="E294" s="59">
        <v>93.63</v>
      </c>
      <c r="F294" s="26">
        <v>0.00659</v>
      </c>
      <c r="G294" s="25">
        <v>16.11</v>
      </c>
      <c r="H294" s="27">
        <f t="shared" si="17"/>
        <v>109.74</v>
      </c>
      <c r="I294" s="28"/>
    </row>
    <row r="295">
      <c r="A295" s="29"/>
      <c r="B295" s="29"/>
      <c r="C295" s="59" t="s">
        <v>99</v>
      </c>
      <c r="D295" s="58"/>
      <c r="E295" s="59">
        <v>103.46</v>
      </c>
      <c r="F295" s="26">
        <v>0.00686</v>
      </c>
      <c r="G295" s="25">
        <v>16.78</v>
      </c>
      <c r="H295" s="27">
        <f t="shared" si="17"/>
        <v>120.24</v>
      </c>
      <c r="I295" s="28"/>
    </row>
    <row r="296">
      <c r="A296" s="31"/>
      <c r="B296" s="31"/>
      <c r="C296" s="59" t="s">
        <v>100</v>
      </c>
      <c r="D296" s="58"/>
      <c r="E296" s="59">
        <v>80.14</v>
      </c>
      <c r="F296" s="26">
        <v>0.00528</v>
      </c>
      <c r="G296" s="25">
        <v>12.96</v>
      </c>
      <c r="H296" s="27">
        <f t="shared" si="17"/>
        <v>93.1</v>
      </c>
      <c r="I296" s="28"/>
    </row>
    <row r="297">
      <c r="A297" s="62" t="s">
        <v>101</v>
      </c>
      <c r="B297" s="63">
        <v>9.0</v>
      </c>
      <c r="C297" s="59" t="s">
        <v>102</v>
      </c>
      <c r="D297" s="58"/>
      <c r="E297" s="59">
        <v>53.31</v>
      </c>
      <c r="F297" s="26">
        <v>0.00357</v>
      </c>
      <c r="G297" s="25">
        <v>8.73</v>
      </c>
      <c r="H297" s="27">
        <f t="shared" si="17"/>
        <v>62.04</v>
      </c>
      <c r="I297" s="28"/>
    </row>
    <row r="298">
      <c r="A298" s="29"/>
      <c r="B298" s="29"/>
      <c r="C298" s="59" t="s">
        <v>103</v>
      </c>
      <c r="D298" s="58"/>
      <c r="E298" s="59">
        <v>129.02</v>
      </c>
      <c r="F298" s="26">
        <v>0.00873</v>
      </c>
      <c r="G298" s="25">
        <v>21.35</v>
      </c>
      <c r="H298" s="27">
        <f t="shared" si="17"/>
        <v>150.37</v>
      </c>
      <c r="I298" s="28"/>
    </row>
    <row r="299">
      <c r="A299" s="29"/>
      <c r="B299" s="29"/>
      <c r="C299" s="59" t="s">
        <v>104</v>
      </c>
      <c r="D299" s="58"/>
      <c r="E299" s="59">
        <v>93.63</v>
      </c>
      <c r="F299" s="26">
        <v>0.00659</v>
      </c>
      <c r="G299" s="25">
        <v>16.11</v>
      </c>
      <c r="H299" s="27">
        <f t="shared" si="17"/>
        <v>109.74</v>
      </c>
      <c r="I299" s="28"/>
    </row>
    <row r="300">
      <c r="A300" s="29"/>
      <c r="B300" s="29"/>
      <c r="C300" s="59" t="s">
        <v>105</v>
      </c>
      <c r="D300" s="58"/>
      <c r="E300" s="59">
        <v>103.46</v>
      </c>
      <c r="F300" s="26">
        <v>0.00686</v>
      </c>
      <c r="G300" s="25">
        <v>16.78</v>
      </c>
      <c r="H300" s="27">
        <f t="shared" si="17"/>
        <v>120.24</v>
      </c>
      <c r="I300" s="28"/>
    </row>
    <row r="301">
      <c r="A301" s="31"/>
      <c r="B301" s="31"/>
      <c r="C301" s="59" t="s">
        <v>106</v>
      </c>
      <c r="D301" s="58"/>
      <c r="E301" s="59">
        <v>80.14</v>
      </c>
      <c r="F301" s="26">
        <v>0.00528</v>
      </c>
      <c r="G301" s="25">
        <v>12.96</v>
      </c>
      <c r="H301" s="27">
        <f t="shared" si="17"/>
        <v>93.1</v>
      </c>
      <c r="I301" s="28"/>
    </row>
    <row r="302">
      <c r="A302" s="62" t="s">
        <v>107</v>
      </c>
      <c r="B302" s="63">
        <v>12.0</v>
      </c>
      <c r="C302" s="59" t="s">
        <v>108</v>
      </c>
      <c r="D302" s="58"/>
      <c r="E302" s="59">
        <v>53.31</v>
      </c>
      <c r="F302" s="26">
        <v>0.00357</v>
      </c>
      <c r="G302" s="25">
        <v>8.73</v>
      </c>
      <c r="H302" s="27">
        <f t="shared" si="17"/>
        <v>62.04</v>
      </c>
      <c r="I302" s="28"/>
    </row>
    <row r="303">
      <c r="A303" s="29"/>
      <c r="B303" s="29"/>
      <c r="C303" s="59" t="s">
        <v>109</v>
      </c>
      <c r="D303" s="58"/>
      <c r="E303" s="59">
        <v>129.02</v>
      </c>
      <c r="F303" s="26">
        <v>0.00873</v>
      </c>
      <c r="G303" s="25">
        <v>21.35</v>
      </c>
      <c r="H303" s="27">
        <f t="shared" si="17"/>
        <v>150.37</v>
      </c>
      <c r="I303" s="28"/>
    </row>
    <row r="304">
      <c r="A304" s="29"/>
      <c r="B304" s="29"/>
      <c r="C304" s="59" t="s">
        <v>125</v>
      </c>
      <c r="D304" s="58"/>
      <c r="E304" s="59">
        <v>93.63</v>
      </c>
      <c r="F304" s="26">
        <v>0.00659</v>
      </c>
      <c r="G304" s="25">
        <v>16.11</v>
      </c>
      <c r="H304" s="27">
        <f t="shared" si="17"/>
        <v>109.74</v>
      </c>
      <c r="I304" s="28"/>
    </row>
    <row r="305">
      <c r="A305" s="29"/>
      <c r="B305" s="29"/>
      <c r="C305" s="59" t="s">
        <v>111</v>
      </c>
      <c r="D305" s="58"/>
      <c r="E305" s="59">
        <v>103.46</v>
      </c>
      <c r="F305" s="26">
        <v>0.00686</v>
      </c>
      <c r="G305" s="25">
        <v>16.78</v>
      </c>
      <c r="H305" s="27">
        <f t="shared" si="17"/>
        <v>120.24</v>
      </c>
      <c r="I305" s="28"/>
    </row>
    <row r="306">
      <c r="A306" s="31"/>
      <c r="B306" s="31"/>
      <c r="C306" s="59" t="s">
        <v>112</v>
      </c>
      <c r="D306" s="58"/>
      <c r="E306" s="59">
        <v>80.14</v>
      </c>
      <c r="F306" s="26">
        <v>0.00528</v>
      </c>
      <c r="G306" s="25">
        <v>12.96</v>
      </c>
      <c r="H306" s="27">
        <f t="shared" si="17"/>
        <v>93.1</v>
      </c>
      <c r="I306" s="28"/>
    </row>
    <row r="307">
      <c r="A307" s="62" t="s">
        <v>113</v>
      </c>
      <c r="B307" s="63">
        <v>15.0</v>
      </c>
      <c r="C307" s="59" t="s">
        <v>114</v>
      </c>
      <c r="D307" s="58"/>
      <c r="E307" s="59">
        <v>53.39</v>
      </c>
      <c r="F307" s="26">
        <v>0.00357</v>
      </c>
      <c r="G307" s="25">
        <v>8.75</v>
      </c>
      <c r="H307" s="27">
        <f t="shared" si="17"/>
        <v>62.14</v>
      </c>
      <c r="I307" s="28"/>
    </row>
    <row r="308">
      <c r="A308" s="29"/>
      <c r="B308" s="29"/>
      <c r="C308" s="59" t="s">
        <v>115</v>
      </c>
      <c r="D308" s="58"/>
      <c r="E308" s="59">
        <v>129.29</v>
      </c>
      <c r="F308" s="26">
        <v>0.00874</v>
      </c>
      <c r="G308" s="25">
        <v>21.39</v>
      </c>
      <c r="H308" s="27">
        <f t="shared" si="17"/>
        <v>150.68</v>
      </c>
      <c r="I308" s="28"/>
    </row>
    <row r="309">
      <c r="A309" s="29"/>
      <c r="B309" s="29"/>
      <c r="C309" s="59" t="s">
        <v>116</v>
      </c>
      <c r="D309" s="58"/>
      <c r="E309" s="59">
        <v>192.37</v>
      </c>
      <c r="F309" s="26">
        <v>0.01314</v>
      </c>
      <c r="G309" s="25">
        <v>32.47</v>
      </c>
      <c r="H309" s="27">
        <f t="shared" si="17"/>
        <v>224.84</v>
      </c>
      <c r="I309" s="28"/>
    </row>
    <row r="310">
      <c r="A310" s="31"/>
      <c r="B310" s="31"/>
      <c r="C310" s="59" t="s">
        <v>117</v>
      </c>
      <c r="D310" s="58"/>
      <c r="E310" s="59">
        <v>78.02</v>
      </c>
      <c r="F310" s="26">
        <v>0.00512</v>
      </c>
      <c r="G310" s="25">
        <v>12.65</v>
      </c>
      <c r="H310" s="27">
        <f t="shared" si="17"/>
        <v>90.67</v>
      </c>
      <c r="I310" s="28"/>
    </row>
    <row r="311">
      <c r="A311" s="62" t="s">
        <v>118</v>
      </c>
      <c r="B311" s="63">
        <v>18.0</v>
      </c>
      <c r="C311" s="59" t="s">
        <v>119</v>
      </c>
      <c r="D311" s="58"/>
      <c r="E311" s="59">
        <v>119.28</v>
      </c>
      <c r="F311" s="26">
        <v>0.00814</v>
      </c>
      <c r="G311" s="25">
        <v>19.91</v>
      </c>
      <c r="H311" s="27">
        <f t="shared" si="17"/>
        <v>139.19</v>
      </c>
      <c r="I311" s="28"/>
    </row>
    <row r="312">
      <c r="A312" s="29"/>
      <c r="B312" s="29"/>
      <c r="C312" s="59" t="s">
        <v>120</v>
      </c>
      <c r="D312" s="58"/>
      <c r="E312" s="59">
        <v>171.33</v>
      </c>
      <c r="F312" s="26">
        <v>0.01234</v>
      </c>
      <c r="G312" s="25">
        <v>30.66</v>
      </c>
      <c r="H312" s="27">
        <f t="shared" si="17"/>
        <v>201.99</v>
      </c>
      <c r="I312" s="28"/>
    </row>
    <row r="313">
      <c r="A313" s="31"/>
      <c r="B313" s="31"/>
      <c r="C313" s="59" t="s">
        <v>121</v>
      </c>
      <c r="D313" s="58"/>
      <c r="E313" s="59">
        <v>103.29</v>
      </c>
      <c r="F313" s="26">
        <v>0.00844</v>
      </c>
      <c r="G313" s="25">
        <v>20.65</v>
      </c>
      <c r="H313" s="27">
        <f t="shared" si="17"/>
        <v>123.94</v>
      </c>
      <c r="I313" s="28"/>
    </row>
    <row r="314">
      <c r="A314" s="62" t="s">
        <v>17</v>
      </c>
      <c r="B314" s="62">
        <v>-3.3</v>
      </c>
      <c r="C314" s="59" t="s">
        <v>126</v>
      </c>
      <c r="D314" s="56" t="s">
        <v>127</v>
      </c>
      <c r="E314" s="25">
        <v>4.364444444444445</v>
      </c>
      <c r="F314" s="26">
        <v>8.0E-5</v>
      </c>
      <c r="G314" s="25">
        <v>0.20444444444444446</v>
      </c>
      <c r="H314" s="27">
        <f t="shared" si="17"/>
        <v>4.568888889</v>
      </c>
      <c r="I314" s="28"/>
    </row>
    <row r="315">
      <c r="A315" s="29"/>
      <c r="B315" s="29"/>
      <c r="C315" s="59" t="s">
        <v>128</v>
      </c>
      <c r="D315" s="56" t="s">
        <v>127</v>
      </c>
      <c r="E315" s="25">
        <v>4.364444444444445</v>
      </c>
      <c r="F315" s="26">
        <v>8.0E-5</v>
      </c>
      <c r="G315" s="25">
        <v>0.20444444444444446</v>
      </c>
      <c r="H315" s="27">
        <f t="shared" si="17"/>
        <v>4.568888889</v>
      </c>
      <c r="I315" s="28"/>
    </row>
    <row r="316">
      <c r="A316" s="29"/>
      <c r="B316" s="29"/>
      <c r="C316" s="59" t="s">
        <v>129</v>
      </c>
      <c r="D316" s="56" t="s">
        <v>127</v>
      </c>
      <c r="E316" s="25">
        <v>4.364444444444445</v>
      </c>
      <c r="F316" s="26">
        <v>8.0E-5</v>
      </c>
      <c r="G316" s="25">
        <v>0.20444444444444446</v>
      </c>
      <c r="H316" s="27">
        <f t="shared" si="17"/>
        <v>4.568888889</v>
      </c>
      <c r="I316" s="28"/>
    </row>
    <row r="317">
      <c r="A317" s="29"/>
      <c r="B317" s="29"/>
      <c r="C317" s="59" t="s">
        <v>130</v>
      </c>
      <c r="D317" s="56" t="s">
        <v>127</v>
      </c>
      <c r="E317" s="25">
        <v>5.455555555555556</v>
      </c>
      <c r="F317" s="26">
        <v>1.0E-4</v>
      </c>
      <c r="G317" s="25">
        <v>0.2555555555555556</v>
      </c>
      <c r="H317" s="27">
        <f t="shared" si="17"/>
        <v>5.711111111</v>
      </c>
      <c r="I317" s="28"/>
    </row>
    <row r="318">
      <c r="A318" s="29"/>
      <c r="B318" s="29"/>
      <c r="C318" s="59" t="s">
        <v>131</v>
      </c>
      <c r="D318" s="56" t="s">
        <v>127</v>
      </c>
      <c r="E318" s="25">
        <v>4.91</v>
      </c>
      <c r="F318" s="26">
        <v>9.0E-5</v>
      </c>
      <c r="G318" s="25">
        <v>0.23</v>
      </c>
      <c r="H318" s="27">
        <f t="shared" si="17"/>
        <v>5.14</v>
      </c>
      <c r="I318" s="28"/>
    </row>
    <row r="319">
      <c r="A319" s="29"/>
      <c r="B319" s="29"/>
      <c r="C319" s="59" t="s">
        <v>132</v>
      </c>
      <c r="D319" s="56" t="s">
        <v>127</v>
      </c>
      <c r="E319" s="25">
        <v>3.8188888888888886</v>
      </c>
      <c r="F319" s="26">
        <v>7.0E-5</v>
      </c>
      <c r="G319" s="25">
        <v>0.17888888888888888</v>
      </c>
      <c r="H319" s="27">
        <f t="shared" si="17"/>
        <v>3.997777778</v>
      </c>
      <c r="I319" s="28"/>
    </row>
    <row r="320">
      <c r="A320" s="29"/>
      <c r="B320" s="29"/>
      <c r="C320" s="59" t="s">
        <v>134</v>
      </c>
      <c r="D320" s="56" t="s">
        <v>127</v>
      </c>
      <c r="E320" s="25">
        <v>4.364444444444445</v>
      </c>
      <c r="F320" s="26">
        <v>8.0E-5</v>
      </c>
      <c r="G320" s="25">
        <v>0.20444444444444446</v>
      </c>
      <c r="H320" s="27">
        <f t="shared" si="17"/>
        <v>4.568888889</v>
      </c>
      <c r="I320" s="28"/>
    </row>
    <row r="321">
      <c r="A321" s="29"/>
      <c r="B321" s="29"/>
      <c r="C321" s="59" t="s">
        <v>135</v>
      </c>
      <c r="D321" s="56" t="s">
        <v>127</v>
      </c>
      <c r="E321" s="25">
        <v>4.364444444444445</v>
      </c>
      <c r="F321" s="26">
        <v>8.0E-5</v>
      </c>
      <c r="G321" s="25">
        <v>0.20444444444444446</v>
      </c>
      <c r="H321" s="27">
        <f t="shared" si="17"/>
        <v>4.568888889</v>
      </c>
      <c r="I321" s="28"/>
    </row>
    <row r="322">
      <c r="A322" s="29"/>
      <c r="B322" s="29"/>
      <c r="C322" s="59" t="s">
        <v>136</v>
      </c>
      <c r="D322" s="56" t="s">
        <v>127</v>
      </c>
      <c r="E322" s="25">
        <v>4.364444444444445</v>
      </c>
      <c r="F322" s="26">
        <v>8.0E-5</v>
      </c>
      <c r="G322" s="25">
        <v>0.20444444444444446</v>
      </c>
      <c r="H322" s="27">
        <f t="shared" si="17"/>
        <v>4.568888889</v>
      </c>
      <c r="I322" s="28"/>
    </row>
    <row r="323">
      <c r="A323" s="29"/>
      <c r="B323" s="29"/>
      <c r="C323" s="59" t="s">
        <v>145</v>
      </c>
      <c r="D323" s="56" t="s">
        <v>127</v>
      </c>
      <c r="E323" s="25">
        <v>4.91</v>
      </c>
      <c r="F323" s="26">
        <v>9.0E-5</v>
      </c>
      <c r="G323" s="25">
        <v>0.23</v>
      </c>
      <c r="H323" s="27">
        <f t="shared" si="17"/>
        <v>5.14</v>
      </c>
      <c r="I323" s="28"/>
    </row>
    <row r="324">
      <c r="A324" s="29"/>
      <c r="B324" s="29"/>
      <c r="C324" s="59" t="s">
        <v>139</v>
      </c>
      <c r="D324" s="56" t="s">
        <v>127</v>
      </c>
      <c r="E324" s="25">
        <v>4.91</v>
      </c>
      <c r="F324" s="26">
        <v>9.0E-5</v>
      </c>
      <c r="G324" s="25">
        <v>0.23</v>
      </c>
      <c r="H324" s="27">
        <f t="shared" si="17"/>
        <v>5.14</v>
      </c>
      <c r="I324" s="28"/>
    </row>
    <row r="325">
      <c r="A325" s="29"/>
      <c r="B325" s="29"/>
      <c r="C325" s="59" t="s">
        <v>140</v>
      </c>
      <c r="D325" s="56" t="s">
        <v>127</v>
      </c>
      <c r="E325" s="25">
        <v>1.6366666666666667</v>
      </c>
      <c r="F325" s="26">
        <v>3.0E-5</v>
      </c>
      <c r="G325" s="25">
        <v>0.07666666666666667</v>
      </c>
      <c r="H325" s="27">
        <f t="shared" si="17"/>
        <v>1.713333333</v>
      </c>
      <c r="I325" s="28"/>
    </row>
    <row r="326">
      <c r="A326" s="29"/>
      <c r="B326" s="29"/>
      <c r="C326" s="59" t="s">
        <v>147</v>
      </c>
      <c r="D326" s="56" t="s">
        <v>127</v>
      </c>
      <c r="E326" s="25">
        <v>2.1822222222222223</v>
      </c>
      <c r="F326" s="26">
        <v>4.0E-5</v>
      </c>
      <c r="G326" s="25">
        <v>0.10222222222222223</v>
      </c>
      <c r="H326" s="27">
        <f t="shared" si="17"/>
        <v>2.284444444</v>
      </c>
      <c r="I326" s="28"/>
    </row>
    <row r="327">
      <c r="A327" s="29"/>
      <c r="B327" s="29"/>
      <c r="C327" s="59" t="s">
        <v>149</v>
      </c>
      <c r="D327" s="56" t="s">
        <v>127</v>
      </c>
      <c r="E327" s="25">
        <v>2.1822222222222223</v>
      </c>
      <c r="F327" s="26">
        <v>4.0E-5</v>
      </c>
      <c r="G327" s="25">
        <v>0.10222222222222223</v>
      </c>
      <c r="H327" s="27">
        <f t="shared" si="17"/>
        <v>2.284444444</v>
      </c>
      <c r="I327" s="28"/>
    </row>
    <row r="328">
      <c r="A328" s="29"/>
      <c r="B328" s="29"/>
      <c r="C328" s="59" t="s">
        <v>150</v>
      </c>
      <c r="D328" s="56" t="s">
        <v>127</v>
      </c>
      <c r="E328" s="25">
        <v>5.455555555555556</v>
      </c>
      <c r="F328" s="26">
        <v>1.0E-4</v>
      </c>
      <c r="G328" s="25">
        <v>0.2555555555555556</v>
      </c>
      <c r="H328" s="27">
        <f t="shared" si="17"/>
        <v>5.711111111</v>
      </c>
      <c r="I328" s="28"/>
    </row>
    <row r="329">
      <c r="A329" s="31"/>
      <c r="B329" s="31"/>
      <c r="C329" s="59" t="s">
        <v>151</v>
      </c>
      <c r="D329" s="56" t="s">
        <v>127</v>
      </c>
      <c r="E329" s="25">
        <v>5.455555555555556</v>
      </c>
      <c r="F329" s="26">
        <v>1.0E-4</v>
      </c>
      <c r="G329" s="25">
        <v>0.2555555555555556</v>
      </c>
      <c r="H329" s="27">
        <f t="shared" si="17"/>
        <v>5.711111111</v>
      </c>
      <c r="I329" s="28"/>
    </row>
    <row r="330">
      <c r="A330" s="66" t="s">
        <v>162</v>
      </c>
      <c r="B330" s="67"/>
      <c r="C330" s="67"/>
      <c r="D330" s="68"/>
      <c r="E330" s="69">
        <f>sum(E279:E329)</f>
        <v>3139.803333</v>
      </c>
      <c r="F330" s="70">
        <f>SUM(F279:F329)</f>
        <v>0.20949</v>
      </c>
      <c r="G330" s="71">
        <f t="shared" ref="G330:H330" si="18">sum(G279:G329)</f>
        <v>515.3033333</v>
      </c>
      <c r="H330" s="72">
        <f t="shared" si="18"/>
        <v>3655.106667</v>
      </c>
      <c r="I330" s="28"/>
    </row>
    <row r="331">
      <c r="A331" s="73" t="s">
        <v>17</v>
      </c>
      <c r="B331" s="47"/>
      <c r="C331" s="47"/>
      <c r="D331" s="48"/>
      <c r="E331" s="49">
        <f t="shared" ref="E331:H331" si="19">E93</f>
        <v>1073.55</v>
      </c>
      <c r="F331" s="50">
        <f t="shared" si="19"/>
        <v>0.9999833333</v>
      </c>
      <c r="G331" s="49">
        <f t="shared" si="19"/>
        <v>1895.67</v>
      </c>
      <c r="H331" s="49">
        <f t="shared" si="19"/>
        <v>2969.22</v>
      </c>
      <c r="I331" s="28"/>
    </row>
    <row r="332">
      <c r="A332" s="74" t="s">
        <v>163</v>
      </c>
      <c r="B332" s="47"/>
      <c r="C332" s="47"/>
      <c r="D332" s="48"/>
      <c r="E332" s="49">
        <f t="shared" ref="E332:G332" si="20">SUM(E129,E170,E199,E250,E277,E330)</f>
        <v>14877.41111</v>
      </c>
      <c r="F332" s="50">
        <f t="shared" si="20"/>
        <v>0.99124</v>
      </c>
      <c r="G332" s="49">
        <f t="shared" si="20"/>
        <v>2448.925556</v>
      </c>
      <c r="H332" s="49">
        <f>E332+G332</f>
        <v>17326.33667</v>
      </c>
      <c r="I332" s="28"/>
    </row>
    <row r="333">
      <c r="A333" s="75"/>
      <c r="B333" s="75"/>
      <c r="C333" s="75"/>
      <c r="D333" s="75"/>
      <c r="E333" s="28"/>
      <c r="F333" s="76"/>
      <c r="G333" s="28"/>
      <c r="H333" s="77"/>
      <c r="I333" s="28"/>
    </row>
    <row r="334">
      <c r="F334" s="76"/>
      <c r="G334" s="28"/>
      <c r="H334" s="77"/>
      <c r="I334" s="28"/>
    </row>
    <row r="335">
      <c r="A335" s="78" t="s">
        <v>164</v>
      </c>
      <c r="B335" s="47"/>
      <c r="C335" s="47"/>
      <c r="D335" s="48"/>
      <c r="E335" s="79">
        <f t="shared" ref="E335:E336" si="21">E342</f>
        <v>17326.33667</v>
      </c>
      <c r="F335" s="80"/>
      <c r="G335" s="81" t="s">
        <v>165</v>
      </c>
      <c r="H335" s="48"/>
      <c r="I335" s="28"/>
    </row>
    <row r="336">
      <c r="A336" s="78" t="s">
        <v>166</v>
      </c>
      <c r="B336" s="47"/>
      <c r="C336" s="47"/>
      <c r="D336" s="48"/>
      <c r="E336" s="79">
        <f t="shared" si="21"/>
        <v>2969.22</v>
      </c>
      <c r="F336" s="80"/>
      <c r="G336" s="82">
        <f>(E336*0.31 + E335*0.6) * 12 * 1.9558 * 1.2</f>
        <v>318705.7205</v>
      </c>
      <c r="H336" s="48"/>
      <c r="I336" s="28"/>
    </row>
    <row r="337">
      <c r="A337" s="78" t="s">
        <v>167</v>
      </c>
      <c r="B337" s="47"/>
      <c r="C337" s="47"/>
      <c r="D337" s="48"/>
      <c r="E337" s="83">
        <f>COUNTIF(C12:C329,"&lt;&gt;") -E338 - E339 - E340</f>
        <v>156</v>
      </c>
      <c r="F337" s="4"/>
      <c r="H337" s="84"/>
      <c r="I337" s="28"/>
    </row>
    <row r="338">
      <c r="A338" s="78" t="s">
        <v>168</v>
      </c>
      <c r="B338" s="47"/>
      <c r="C338" s="47"/>
      <c r="D338" s="48"/>
      <c r="E338" s="83">
        <f>COUNTIF(D12:D329, "ГАРАЖ")</f>
        <v>17</v>
      </c>
      <c r="F338" s="4"/>
      <c r="H338" s="84"/>
      <c r="I338" s="51"/>
    </row>
    <row r="339">
      <c r="A339" s="78" t="s">
        <v>169</v>
      </c>
      <c r="B339" s="47"/>
      <c r="C339" s="47"/>
      <c r="D339" s="48"/>
      <c r="E339" s="83">
        <f>COUNTIF(D13:D330, "МАЗЕ*")</f>
        <v>52</v>
      </c>
      <c r="F339" s="4"/>
      <c r="H339" s="85"/>
      <c r="I339" s="4"/>
    </row>
    <row r="340">
      <c r="A340" s="78" t="s">
        <v>170</v>
      </c>
      <c r="B340" s="47"/>
      <c r="C340" s="47"/>
      <c r="D340" s="48"/>
      <c r="E340" s="83">
        <f>COUNTIF(D12:D329, "ПАРКОМЯСТО")</f>
        <v>76</v>
      </c>
      <c r="F340" s="4"/>
      <c r="H340" s="85"/>
    </row>
    <row r="341">
      <c r="H341" s="86"/>
      <c r="I341" s="80"/>
    </row>
    <row r="342">
      <c r="A342" s="87" t="s">
        <v>171</v>
      </c>
      <c r="B342" s="88">
        <f t="shared" ref="B342:E342" si="22">E332</f>
        <v>14877.41111</v>
      </c>
      <c r="C342" s="89">
        <f t="shared" si="22"/>
        <v>0.99124</v>
      </c>
      <c r="D342" s="28">
        <f t="shared" si="22"/>
        <v>2448.925556</v>
      </c>
      <c r="E342" s="28">
        <f t="shared" si="22"/>
        <v>17326.33667</v>
      </c>
      <c r="H342" s="85"/>
      <c r="I342" s="4"/>
    </row>
    <row r="343">
      <c r="A343" s="87" t="s">
        <v>172</v>
      </c>
      <c r="B343" s="88">
        <f>E93</f>
        <v>1073.55</v>
      </c>
      <c r="C343" s="51"/>
      <c r="D343" s="88">
        <f>G93</f>
        <v>1895.67</v>
      </c>
      <c r="E343" s="51">
        <f>B343+D343</f>
        <v>2969.22</v>
      </c>
      <c r="H343" s="85"/>
      <c r="I343" s="4"/>
    </row>
    <row r="344">
      <c r="G344" s="4"/>
      <c r="H344" s="85"/>
      <c r="I344" s="4"/>
    </row>
    <row r="345">
      <c r="G345" s="4"/>
      <c r="H345" s="85"/>
      <c r="I345" s="4"/>
    </row>
  </sheetData>
  <mergeCells count="125">
    <mergeCell ref="A146:A149"/>
    <mergeCell ref="A150:A153"/>
    <mergeCell ref="B150:B153"/>
    <mergeCell ref="A154:A156"/>
    <mergeCell ref="B154:B156"/>
    <mergeCell ref="B157:B169"/>
    <mergeCell ref="A170:D170"/>
    <mergeCell ref="A157:A169"/>
    <mergeCell ref="A172:A175"/>
    <mergeCell ref="B172:B175"/>
    <mergeCell ref="A176:A179"/>
    <mergeCell ref="B176:B179"/>
    <mergeCell ref="A180:A183"/>
    <mergeCell ref="B180:B183"/>
    <mergeCell ref="A1:H1"/>
    <mergeCell ref="A2:H2"/>
    <mergeCell ref="A3:H3"/>
    <mergeCell ref="A4:H4"/>
    <mergeCell ref="A5:H5"/>
    <mergeCell ref="A6:H6"/>
    <mergeCell ref="A7:H7"/>
    <mergeCell ref="A8:H8"/>
    <mergeCell ref="A11:H11"/>
    <mergeCell ref="A12:A38"/>
    <mergeCell ref="B12:B38"/>
    <mergeCell ref="A39:D39"/>
    <mergeCell ref="B41:B60"/>
    <mergeCell ref="A61:D61"/>
    <mergeCell ref="A41:A60"/>
    <mergeCell ref="A63:A91"/>
    <mergeCell ref="B63:B91"/>
    <mergeCell ref="A92:D92"/>
    <mergeCell ref="A93:D93"/>
    <mergeCell ref="A95:A102"/>
    <mergeCell ref="B95:B102"/>
    <mergeCell ref="B122:B125"/>
    <mergeCell ref="B126:B128"/>
    <mergeCell ref="A129:D129"/>
    <mergeCell ref="B131:B133"/>
    <mergeCell ref="B134:B137"/>
    <mergeCell ref="B138:B141"/>
    <mergeCell ref="B142:B145"/>
    <mergeCell ref="B146:B149"/>
    <mergeCell ref="A103:A107"/>
    <mergeCell ref="B103:B107"/>
    <mergeCell ref="A108:A112"/>
    <mergeCell ref="B108:B112"/>
    <mergeCell ref="A113:A117"/>
    <mergeCell ref="B113:B117"/>
    <mergeCell ref="B118:B121"/>
    <mergeCell ref="A118:A121"/>
    <mergeCell ref="A122:A125"/>
    <mergeCell ref="A126:A128"/>
    <mergeCell ref="A131:A133"/>
    <mergeCell ref="A134:A137"/>
    <mergeCell ref="A138:A141"/>
    <mergeCell ref="A142:A145"/>
    <mergeCell ref="B196:B198"/>
    <mergeCell ref="A199:D199"/>
    <mergeCell ref="A279:A286"/>
    <mergeCell ref="B279:B286"/>
    <mergeCell ref="A287:A291"/>
    <mergeCell ref="B287:B291"/>
    <mergeCell ref="A292:A296"/>
    <mergeCell ref="B292:B296"/>
    <mergeCell ref="B297:B301"/>
    <mergeCell ref="G335:H335"/>
    <mergeCell ref="G336:H336"/>
    <mergeCell ref="A297:A301"/>
    <mergeCell ref="A302:A306"/>
    <mergeCell ref="A307:A310"/>
    <mergeCell ref="A311:A313"/>
    <mergeCell ref="B311:B313"/>
    <mergeCell ref="A314:A329"/>
    <mergeCell ref="B314:B329"/>
    <mergeCell ref="A184:A187"/>
    <mergeCell ref="B184:B187"/>
    <mergeCell ref="A188:A191"/>
    <mergeCell ref="B188:B191"/>
    <mergeCell ref="A192:A195"/>
    <mergeCell ref="B192:B195"/>
    <mergeCell ref="A196:A198"/>
    <mergeCell ref="B216:B219"/>
    <mergeCell ref="B220:B223"/>
    <mergeCell ref="B224:B226"/>
    <mergeCell ref="B227:B249"/>
    <mergeCell ref="A250:D250"/>
    <mergeCell ref="B252:B254"/>
    <mergeCell ref="B255:B258"/>
    <mergeCell ref="B259:B262"/>
    <mergeCell ref="A201:A203"/>
    <mergeCell ref="B201:B203"/>
    <mergeCell ref="A204:A207"/>
    <mergeCell ref="B204:B207"/>
    <mergeCell ref="A208:A211"/>
    <mergeCell ref="B208:B211"/>
    <mergeCell ref="B212:B215"/>
    <mergeCell ref="A212:A215"/>
    <mergeCell ref="A216:A219"/>
    <mergeCell ref="A220:A223"/>
    <mergeCell ref="A224:A226"/>
    <mergeCell ref="A227:A249"/>
    <mergeCell ref="A252:A254"/>
    <mergeCell ref="A255:A258"/>
    <mergeCell ref="A274:A276"/>
    <mergeCell ref="B274:B276"/>
    <mergeCell ref="A277:D277"/>
    <mergeCell ref="A259:A262"/>
    <mergeCell ref="A263:A266"/>
    <mergeCell ref="B263:B266"/>
    <mergeCell ref="A267:A270"/>
    <mergeCell ref="B267:B270"/>
    <mergeCell ref="A271:A273"/>
    <mergeCell ref="B271:B273"/>
    <mergeCell ref="A337:D337"/>
    <mergeCell ref="A338:D338"/>
    <mergeCell ref="A339:D339"/>
    <mergeCell ref="A340:D340"/>
    <mergeCell ref="B302:B306"/>
    <mergeCell ref="B307:B310"/>
    <mergeCell ref="A330:D330"/>
    <mergeCell ref="A331:D331"/>
    <mergeCell ref="A332:D332"/>
    <mergeCell ref="A335:D335"/>
    <mergeCell ref="A336:D336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38"/>
    <col customWidth="1" min="2" max="2" width="46.38"/>
    <col customWidth="1" min="3" max="5" width="26.63"/>
    <col customWidth="1" min="6" max="8" width="26.38"/>
    <col customWidth="1" min="9" max="9" width="55.63"/>
  </cols>
  <sheetData>
    <row r="1">
      <c r="A1" s="90" t="s">
        <v>173</v>
      </c>
      <c r="B1" s="90" t="s">
        <v>174</v>
      </c>
      <c r="C1" s="90" t="s">
        <v>175</v>
      </c>
      <c r="D1" s="90" t="s">
        <v>176</v>
      </c>
      <c r="E1" s="90" t="s">
        <v>177</v>
      </c>
      <c r="F1" s="91" t="s">
        <v>178</v>
      </c>
      <c r="G1" s="91" t="s">
        <v>179</v>
      </c>
      <c r="H1" s="91" t="s">
        <v>180</v>
      </c>
      <c r="I1" s="90" t="s">
        <v>181</v>
      </c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>
      <c r="A2" s="93" t="s">
        <v>182</v>
      </c>
      <c r="B2" s="93" t="s">
        <v>183</v>
      </c>
      <c r="C2" s="93" t="s">
        <v>184</v>
      </c>
      <c r="D2" s="93" t="s">
        <v>184</v>
      </c>
      <c r="E2" s="93" t="s">
        <v>184</v>
      </c>
      <c r="F2" s="94" t="s">
        <v>185</v>
      </c>
      <c r="G2" s="94" t="s">
        <v>185</v>
      </c>
      <c r="H2" s="94"/>
      <c r="I2" s="93" t="s">
        <v>186</v>
      </c>
    </row>
    <row r="3">
      <c r="A3" s="93" t="s">
        <v>182</v>
      </c>
      <c r="B3" s="93" t="s">
        <v>187</v>
      </c>
      <c r="C3" s="94">
        <f>4.17*'Жилищна част'!$E$337</f>
        <v>650.52</v>
      </c>
      <c r="D3" s="94">
        <f>4.17*'Жилищна част'!$E$337</f>
        <v>650.52</v>
      </c>
      <c r="E3" s="94">
        <f>4.17*'Жилищна част'!$E$337</f>
        <v>650.52</v>
      </c>
      <c r="F3" s="94" t="s">
        <v>185</v>
      </c>
      <c r="G3" s="94" t="s">
        <v>185</v>
      </c>
      <c r="H3" s="94"/>
      <c r="I3" s="93"/>
    </row>
    <row r="4">
      <c r="A4" s="93" t="s">
        <v>182</v>
      </c>
      <c r="B4" s="93" t="s">
        <v>188</v>
      </c>
      <c r="C4" s="94">
        <f>2.08*'Жилищна част'!$E$340</f>
        <v>158.08</v>
      </c>
      <c r="D4" s="94">
        <f>2.08*'Жилищна част'!$E$340</f>
        <v>158.08</v>
      </c>
      <c r="E4" s="94">
        <f>2.08*'Жилищна част'!$E$340</f>
        <v>158.08</v>
      </c>
      <c r="F4" s="94"/>
      <c r="G4" s="94"/>
      <c r="H4" s="94"/>
      <c r="I4" s="93"/>
    </row>
    <row r="5">
      <c r="A5" s="93" t="s">
        <v>182</v>
      </c>
      <c r="B5" s="93" t="s">
        <v>189</v>
      </c>
      <c r="C5" s="94">
        <f>0.83*'Жилищна част'!$E$339</f>
        <v>43.16</v>
      </c>
      <c r="D5" s="94">
        <f>0.83*'Жилищна част'!$E$339</f>
        <v>43.16</v>
      </c>
      <c r="E5" s="94">
        <f>0.83*'Жилищна част'!$E$339</f>
        <v>43.16</v>
      </c>
      <c r="F5" s="94"/>
      <c r="G5" s="94"/>
      <c r="H5" s="94"/>
      <c r="I5" s="93"/>
    </row>
    <row r="6">
      <c r="A6" s="93" t="s">
        <v>182</v>
      </c>
      <c r="B6" s="93" t="s">
        <v>190</v>
      </c>
      <c r="C6" s="93" t="s">
        <v>185</v>
      </c>
      <c r="D6" s="94" t="s">
        <v>185</v>
      </c>
      <c r="E6" s="94" t="s">
        <v>185</v>
      </c>
      <c r="F6" s="94">
        <v>1100.0</v>
      </c>
      <c r="G6" s="94">
        <v>1100.0</v>
      </c>
      <c r="H6" s="94"/>
    </row>
    <row r="7">
      <c r="A7" s="93" t="s">
        <v>191</v>
      </c>
      <c r="B7" s="93" t="s">
        <v>192</v>
      </c>
      <c r="C7" s="94">
        <v>3500.0</v>
      </c>
      <c r="D7" s="94">
        <v>1333.33</v>
      </c>
      <c r="E7" s="94">
        <v>0.0</v>
      </c>
      <c r="F7" s="94">
        <v>3660.0</v>
      </c>
      <c r="G7" s="94">
        <v>3660.0</v>
      </c>
      <c r="H7" s="94"/>
      <c r="I7" s="93" t="s">
        <v>193</v>
      </c>
    </row>
    <row r="8">
      <c r="A8" s="93" t="s">
        <v>194</v>
      </c>
      <c r="B8" s="93" t="s">
        <v>195</v>
      </c>
      <c r="C8" s="94">
        <v>2500.0</v>
      </c>
      <c r="D8" s="94">
        <v>2500.0</v>
      </c>
      <c r="E8" s="94">
        <v>2500.0</v>
      </c>
      <c r="F8" s="94">
        <v>2450.0</v>
      </c>
      <c r="G8" s="94">
        <v>0.0</v>
      </c>
      <c r="H8" s="94"/>
      <c r="I8" s="93" t="s">
        <v>196</v>
      </c>
    </row>
    <row r="9">
      <c r="A9" s="93" t="s">
        <v>194</v>
      </c>
      <c r="B9" s="93" t="s">
        <v>197</v>
      </c>
      <c r="C9" s="94">
        <v>291.67</v>
      </c>
      <c r="D9" s="94">
        <v>291.67</v>
      </c>
      <c r="E9" s="94">
        <v>291.67</v>
      </c>
      <c r="F9" s="94">
        <v>600.0</v>
      </c>
      <c r="G9" s="94">
        <v>600.0</v>
      </c>
      <c r="H9" s="94"/>
      <c r="I9" s="93" t="s">
        <v>198</v>
      </c>
    </row>
    <row r="10">
      <c r="A10" s="93" t="s">
        <v>199</v>
      </c>
      <c r="B10" s="93" t="s">
        <v>200</v>
      </c>
      <c r="C10" s="94">
        <v>583.33</v>
      </c>
      <c r="D10" s="94">
        <v>583.33</v>
      </c>
      <c r="E10" s="94">
        <v>583.33</v>
      </c>
      <c r="F10" s="94">
        <v>600.0</v>
      </c>
      <c r="G10" s="94">
        <v>600.0</v>
      </c>
      <c r="H10" s="94"/>
      <c r="I10" s="93" t="s">
        <v>201</v>
      </c>
    </row>
    <row r="11">
      <c r="A11" s="93" t="s">
        <v>202</v>
      </c>
      <c r="B11" s="93" t="s">
        <v>203</v>
      </c>
      <c r="C11" s="94">
        <v>916.67</v>
      </c>
      <c r="D11" s="94">
        <v>916.67</v>
      </c>
      <c r="E11" s="94">
        <v>916.67</v>
      </c>
      <c r="F11" s="94">
        <v>675.0</v>
      </c>
      <c r="G11" s="94">
        <v>675.0</v>
      </c>
      <c r="H11" s="94"/>
      <c r="I11" s="93" t="s">
        <v>204</v>
      </c>
    </row>
    <row r="12">
      <c r="A12" s="93" t="s">
        <v>202</v>
      </c>
      <c r="B12" s="93" t="s">
        <v>205</v>
      </c>
      <c r="C12" s="93" t="s">
        <v>206</v>
      </c>
      <c r="D12" s="94" t="s">
        <v>207</v>
      </c>
      <c r="E12" s="94" t="s">
        <v>207</v>
      </c>
      <c r="F12" s="94">
        <v>600.0</v>
      </c>
      <c r="G12" s="94">
        <v>600.0</v>
      </c>
      <c r="H12" s="94"/>
      <c r="I12" s="93" t="s">
        <v>208</v>
      </c>
    </row>
    <row r="13">
      <c r="A13" s="93" t="s">
        <v>209</v>
      </c>
      <c r="B13" s="93" t="s">
        <v>210</v>
      </c>
      <c r="C13" s="94">
        <v>739.73</v>
      </c>
      <c r="D13" s="94">
        <v>739.73</v>
      </c>
      <c r="E13" s="94">
        <v>739.73</v>
      </c>
      <c r="F13" s="94">
        <v>739.73</v>
      </c>
      <c r="G13" s="94">
        <v>739.73</v>
      </c>
      <c r="H13" s="94"/>
      <c r="I13" s="93" t="s">
        <v>211</v>
      </c>
    </row>
    <row r="14">
      <c r="A14" s="93" t="s">
        <v>209</v>
      </c>
      <c r="B14" s="93" t="s">
        <v>212</v>
      </c>
      <c r="C14" s="94">
        <v>45.29</v>
      </c>
      <c r="D14" s="94">
        <v>45.29</v>
      </c>
      <c r="E14" s="94">
        <v>45.29</v>
      </c>
      <c r="F14" s="94">
        <v>45.29</v>
      </c>
      <c r="G14" s="94">
        <v>45.29</v>
      </c>
      <c r="H14" s="94"/>
      <c r="I14" s="93" t="s">
        <v>211</v>
      </c>
    </row>
    <row r="15">
      <c r="A15" s="93" t="s">
        <v>199</v>
      </c>
      <c r="B15" s="93" t="s">
        <v>213</v>
      </c>
      <c r="C15" s="94">
        <v>630.0</v>
      </c>
      <c r="D15" s="94">
        <v>630.0</v>
      </c>
      <c r="E15" s="94">
        <v>630.0</v>
      </c>
      <c r="F15" s="94">
        <v>630.0</v>
      </c>
      <c r="G15" s="94">
        <v>630.0</v>
      </c>
      <c r="H15" s="94"/>
      <c r="I15" s="93" t="s">
        <v>214</v>
      </c>
    </row>
    <row r="16">
      <c r="A16" s="95" t="s">
        <v>215</v>
      </c>
      <c r="B16" s="95"/>
      <c r="C16" s="96">
        <f t="shared" ref="C16:G16" si="1">SUM(C3:C15)</f>
        <v>10058.45</v>
      </c>
      <c r="D16" s="96">
        <f t="shared" si="1"/>
        <v>7891.78</v>
      </c>
      <c r="E16" s="96">
        <f t="shared" si="1"/>
        <v>6558.45</v>
      </c>
      <c r="F16" s="96">
        <f t="shared" si="1"/>
        <v>11100.02</v>
      </c>
      <c r="G16" s="96">
        <f t="shared" si="1"/>
        <v>8650.02</v>
      </c>
      <c r="H16" s="96">
        <f>H18+H19</f>
        <v>17078.313</v>
      </c>
      <c r="I16" s="95" t="s">
        <v>216</v>
      </c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7"/>
      <c r="X16" s="97"/>
      <c r="Y16" s="97"/>
      <c r="Z16" s="97"/>
      <c r="AA16" s="97"/>
    </row>
    <row r="17">
      <c r="A17" s="95"/>
      <c r="B17" s="97"/>
      <c r="C17" s="97"/>
      <c r="D17" s="97"/>
      <c r="E17" s="97"/>
      <c r="F17" s="98"/>
      <c r="G17" s="98"/>
      <c r="H17" s="98"/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  <c r="AA17" s="97"/>
    </row>
    <row r="18">
      <c r="A18" s="95" t="s">
        <v>217</v>
      </c>
      <c r="B18" s="97"/>
      <c r="C18" s="98">
        <f t="shared" ref="C18:E18" si="2">SUM(C3,C7,C8,C11)</f>
        <v>7567.19</v>
      </c>
      <c r="D18" s="98">
        <f t="shared" si="2"/>
        <v>5400.52</v>
      </c>
      <c r="E18" s="98">
        <f t="shared" si="2"/>
        <v>4067.19</v>
      </c>
      <c r="F18" s="98">
        <f t="shared" ref="F18:G18" si="3">SUM(F3,F7,F8,F11, F12)</f>
        <v>7385</v>
      </c>
      <c r="G18" s="98">
        <f t="shared" si="3"/>
        <v>4935</v>
      </c>
      <c r="H18" s="98">
        <f>H22*'Жилищна част'!E335</f>
        <v>15593.703</v>
      </c>
      <c r="I18" s="97"/>
      <c r="J18" s="97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  <c r="AA18" s="97"/>
    </row>
    <row r="19">
      <c r="A19" s="95" t="s">
        <v>218</v>
      </c>
      <c r="B19" s="97"/>
      <c r="C19" s="98">
        <f t="shared" ref="C19:G19" si="4">SUM(C9,C4,C5)</f>
        <v>492.91</v>
      </c>
      <c r="D19" s="98">
        <f t="shared" si="4"/>
        <v>492.91</v>
      </c>
      <c r="E19" s="98">
        <f t="shared" si="4"/>
        <v>492.91</v>
      </c>
      <c r="F19" s="98">
        <f t="shared" si="4"/>
        <v>600</v>
      </c>
      <c r="G19" s="98">
        <f t="shared" si="4"/>
        <v>600</v>
      </c>
      <c r="H19" s="98">
        <f>H23*'Жилищна част'!E336</f>
        <v>1484.61</v>
      </c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  <c r="AA19" s="97"/>
    </row>
    <row r="20">
      <c r="A20" s="95" t="s">
        <v>219</v>
      </c>
      <c r="B20" s="97"/>
      <c r="C20" s="98">
        <f t="shared" ref="C20:E20" si="5">SUM(C10,C13,C14,C15)</f>
        <v>1998.35</v>
      </c>
      <c r="D20" s="98">
        <f t="shared" si="5"/>
        <v>1998.35</v>
      </c>
      <c r="E20" s="98">
        <f t="shared" si="5"/>
        <v>1998.35</v>
      </c>
      <c r="F20" s="98">
        <f t="shared" ref="F20:G20" si="6">SUM(F10,F13,F14,F15,F6)</f>
        <v>3115.02</v>
      </c>
      <c r="G20" s="98">
        <f t="shared" si="6"/>
        <v>3115.02</v>
      </c>
      <c r="H20" s="98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7"/>
      <c r="AA20" s="97"/>
    </row>
    <row r="21">
      <c r="F21" s="99"/>
      <c r="G21" s="99"/>
      <c r="H21" s="99"/>
    </row>
    <row r="22">
      <c r="A22" s="100" t="s">
        <v>220</v>
      </c>
      <c r="B22" s="101"/>
      <c r="C22" s="102">
        <f>C18/'Жилищна част'!$E$335+C20/('Жилищна част'!$E$335+'Жилищна част'!$E$336)</f>
        <v>0.5352073861</v>
      </c>
      <c r="D22" s="102">
        <f>D18/'Жилищна част'!$E$335+D20/('Жилищна част'!$E$335+'Жилищна част'!$E$336)</f>
        <v>0.4101567166</v>
      </c>
      <c r="E22" s="102">
        <f>E18/'Жилищна част'!$E$335+E20/('Жилищна част'!$E$335+'Жилищна част'!$E$336)</f>
        <v>0.3332027693</v>
      </c>
      <c r="F22" s="102">
        <f>F18/'Жилищна част'!$E$335+F20/('Жилищна част'!$E$335+'Жилищна част'!$E$336)</f>
        <v>0.5797125975</v>
      </c>
      <c r="G22" s="102">
        <f>G18/'Жилищна част'!$E$335+G20/('Жилищна част'!$E$335+'Жилищна част'!$E$336)</f>
        <v>0.4383093657</v>
      </c>
      <c r="H22" s="103">
        <v>0.9</v>
      </c>
      <c r="I22" s="101"/>
      <c r="J22" s="101"/>
      <c r="K22" s="101"/>
      <c r="L22" s="101"/>
      <c r="M22" s="101"/>
      <c r="N22" s="101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1"/>
      <c r="Z22" s="101"/>
      <c r="AA22" s="101"/>
    </row>
    <row r="23">
      <c r="A23" s="100" t="s">
        <v>221</v>
      </c>
      <c r="B23" s="101"/>
      <c r="C23" s="104">
        <f>(C19)/'Жилищна част'!$E$336+C20/('Жилищна част'!$E$336+'Жилищна част'!$E$335)</f>
        <v>0.2644689991</v>
      </c>
      <c r="D23" s="104">
        <f>(D19)/'Жилищна част'!$E$336+D20/('Жилищна част'!$E$336+'Жилищна част'!$E$335)</f>
        <v>0.2644689991</v>
      </c>
      <c r="E23" s="104">
        <f>(E19)/'Жилищна част'!$E$336+E20/('Жилищна част'!$E$336+'Жилищна част'!$E$335)</f>
        <v>0.2644689991</v>
      </c>
      <c r="F23" s="104">
        <f>(F19)/'Жилищна част'!$E$336+F20/('Жилищна част'!$E$336+'Жилищна част'!$E$335)</f>
        <v>0.3555561277</v>
      </c>
      <c r="G23" s="104">
        <f>(G19)/'Жилищна част'!$E$336+G20/('Жилищна част'!$E$336+'Жилищна част'!$E$335)</f>
        <v>0.3555561277</v>
      </c>
      <c r="H23" s="103">
        <v>0.5</v>
      </c>
      <c r="I23" s="101"/>
      <c r="J23" s="101"/>
      <c r="K23" s="101"/>
      <c r="L23" s="101"/>
      <c r="M23" s="101"/>
      <c r="N23" s="101"/>
      <c r="O23" s="101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</row>
    <row r="24">
      <c r="F24" s="99"/>
      <c r="G24" s="99"/>
      <c r="H24" s="99"/>
    </row>
    <row r="25">
      <c r="F25" s="99"/>
      <c r="G25" s="99"/>
      <c r="H25" s="99"/>
    </row>
    <row r="26">
      <c r="A26" s="93" t="s">
        <v>222</v>
      </c>
      <c r="F26" s="99"/>
      <c r="G26" s="99"/>
      <c r="H26" s="99"/>
    </row>
    <row r="27">
      <c r="A27" s="93" t="s">
        <v>223</v>
      </c>
      <c r="F27" s="99"/>
      <c r="G27" s="99"/>
      <c r="H27" s="99"/>
    </row>
    <row r="28">
      <c r="F28" s="99"/>
      <c r="G28" s="99"/>
      <c r="H28" s="99"/>
    </row>
    <row r="29">
      <c r="F29" s="99"/>
      <c r="G29" s="99"/>
      <c r="H29" s="99"/>
    </row>
    <row r="30">
      <c r="F30" s="99"/>
      <c r="G30" s="99"/>
      <c r="H30" s="99"/>
    </row>
    <row r="31">
      <c r="F31" s="99"/>
      <c r="G31" s="99"/>
      <c r="H31" s="99"/>
    </row>
    <row r="32">
      <c r="F32" s="99"/>
      <c r="G32" s="99"/>
      <c r="H32" s="99"/>
    </row>
    <row r="33">
      <c r="F33" s="99"/>
      <c r="G33" s="99"/>
      <c r="H33" s="99"/>
    </row>
    <row r="34">
      <c r="F34" s="99"/>
      <c r="G34" s="99"/>
      <c r="H34" s="99"/>
    </row>
    <row r="35">
      <c r="F35" s="99"/>
      <c r="G35" s="99"/>
      <c r="H35" s="99"/>
    </row>
    <row r="36">
      <c r="F36" s="99"/>
      <c r="G36" s="99"/>
      <c r="H36" s="99"/>
    </row>
    <row r="37">
      <c r="F37" s="99"/>
      <c r="G37" s="99"/>
      <c r="H37" s="99"/>
    </row>
    <row r="38">
      <c r="F38" s="99"/>
      <c r="G38" s="99"/>
      <c r="H38" s="99"/>
    </row>
    <row r="39">
      <c r="F39" s="99"/>
      <c r="G39" s="99"/>
      <c r="H39" s="99"/>
    </row>
    <row r="40">
      <c r="F40" s="99"/>
      <c r="G40" s="99"/>
      <c r="H40" s="99"/>
    </row>
    <row r="41">
      <c r="F41" s="99"/>
      <c r="G41" s="99"/>
      <c r="H41" s="99"/>
    </row>
    <row r="42">
      <c r="F42" s="99"/>
      <c r="G42" s="99"/>
      <c r="H42" s="99"/>
    </row>
    <row r="43">
      <c r="F43" s="99"/>
      <c r="G43" s="99"/>
      <c r="H43" s="99"/>
    </row>
    <row r="44">
      <c r="F44" s="99"/>
      <c r="G44" s="99"/>
      <c r="H44" s="99"/>
    </row>
    <row r="45">
      <c r="F45" s="99"/>
      <c r="G45" s="99"/>
      <c r="H45" s="99"/>
    </row>
    <row r="46">
      <c r="F46" s="99"/>
      <c r="G46" s="99"/>
      <c r="H46" s="99"/>
    </row>
    <row r="47">
      <c r="F47" s="99"/>
      <c r="G47" s="99"/>
      <c r="H47" s="99"/>
    </row>
    <row r="48">
      <c r="F48" s="99"/>
      <c r="G48" s="99"/>
      <c r="H48" s="99"/>
    </row>
    <row r="49">
      <c r="F49" s="99"/>
      <c r="G49" s="99"/>
      <c r="H49" s="99"/>
    </row>
    <row r="50">
      <c r="F50" s="99"/>
      <c r="G50" s="99"/>
      <c r="H50" s="99"/>
    </row>
    <row r="51">
      <c r="F51" s="99"/>
      <c r="G51" s="99"/>
      <c r="H51" s="99"/>
    </row>
    <row r="52">
      <c r="F52" s="99"/>
      <c r="G52" s="99"/>
      <c r="H52" s="99"/>
    </row>
    <row r="53">
      <c r="F53" s="99"/>
      <c r="G53" s="99"/>
      <c r="H53" s="99"/>
    </row>
    <row r="54">
      <c r="F54" s="99"/>
      <c r="G54" s="99"/>
      <c r="H54" s="99"/>
    </row>
    <row r="55">
      <c r="F55" s="99"/>
      <c r="G55" s="99"/>
      <c r="H55" s="99"/>
    </row>
    <row r="56">
      <c r="F56" s="99"/>
      <c r="G56" s="99"/>
      <c r="H56" s="99"/>
    </row>
    <row r="57">
      <c r="F57" s="99"/>
      <c r="G57" s="99"/>
      <c r="H57" s="99"/>
    </row>
    <row r="58">
      <c r="F58" s="99"/>
      <c r="G58" s="99"/>
      <c r="H58" s="99"/>
    </row>
    <row r="59">
      <c r="F59" s="99"/>
      <c r="G59" s="99"/>
      <c r="H59" s="99"/>
    </row>
    <row r="60">
      <c r="F60" s="99"/>
      <c r="G60" s="99"/>
      <c r="H60" s="99"/>
    </row>
    <row r="61">
      <c r="F61" s="99"/>
      <c r="G61" s="99"/>
      <c r="H61" s="99"/>
    </row>
    <row r="62">
      <c r="F62" s="99"/>
      <c r="G62" s="99"/>
      <c r="H62" s="99"/>
    </row>
    <row r="63">
      <c r="F63" s="99"/>
      <c r="G63" s="99"/>
      <c r="H63" s="99"/>
    </row>
    <row r="64">
      <c r="F64" s="99"/>
      <c r="G64" s="99"/>
      <c r="H64" s="99"/>
    </row>
    <row r="65">
      <c r="F65" s="99"/>
      <c r="G65" s="99"/>
      <c r="H65" s="99"/>
    </row>
    <row r="66">
      <c r="F66" s="99"/>
      <c r="G66" s="99"/>
      <c r="H66" s="99"/>
    </row>
    <row r="67">
      <c r="F67" s="99"/>
      <c r="G67" s="99"/>
      <c r="H67" s="99"/>
    </row>
    <row r="68">
      <c r="F68" s="99"/>
      <c r="G68" s="99"/>
      <c r="H68" s="99"/>
    </row>
    <row r="69">
      <c r="F69" s="99"/>
      <c r="G69" s="99"/>
      <c r="H69" s="99"/>
    </row>
    <row r="70">
      <c r="F70" s="99"/>
      <c r="G70" s="99"/>
      <c r="H70" s="99"/>
    </row>
    <row r="71">
      <c r="F71" s="99"/>
      <c r="G71" s="99"/>
      <c r="H71" s="99"/>
    </row>
    <row r="72">
      <c r="F72" s="99"/>
      <c r="G72" s="99"/>
      <c r="H72" s="99"/>
    </row>
    <row r="73">
      <c r="F73" s="99"/>
      <c r="G73" s="99"/>
      <c r="H73" s="99"/>
    </row>
    <row r="74">
      <c r="F74" s="99"/>
      <c r="G74" s="99"/>
      <c r="H74" s="99"/>
    </row>
    <row r="75">
      <c r="F75" s="99"/>
      <c r="G75" s="99"/>
      <c r="H75" s="99"/>
    </row>
    <row r="76">
      <c r="F76" s="99"/>
      <c r="G76" s="99"/>
      <c r="H76" s="99"/>
    </row>
    <row r="77">
      <c r="F77" s="99"/>
      <c r="G77" s="99"/>
      <c r="H77" s="99"/>
    </row>
    <row r="78">
      <c r="F78" s="99"/>
      <c r="G78" s="99"/>
      <c r="H78" s="99"/>
    </row>
    <row r="79">
      <c r="F79" s="99"/>
      <c r="G79" s="99"/>
      <c r="H79" s="99"/>
    </row>
    <row r="80">
      <c r="F80" s="99"/>
      <c r="G80" s="99"/>
      <c r="H80" s="99"/>
    </row>
    <row r="81">
      <c r="F81" s="99"/>
      <c r="G81" s="99"/>
      <c r="H81" s="99"/>
    </row>
    <row r="82">
      <c r="F82" s="99"/>
      <c r="G82" s="99"/>
      <c r="H82" s="99"/>
    </row>
    <row r="83">
      <c r="F83" s="99"/>
      <c r="G83" s="99"/>
      <c r="H83" s="99"/>
    </row>
    <row r="84">
      <c r="F84" s="99"/>
      <c r="G84" s="99"/>
      <c r="H84" s="99"/>
    </row>
    <row r="85">
      <c r="F85" s="99"/>
      <c r="G85" s="99"/>
      <c r="H85" s="99"/>
    </row>
    <row r="86">
      <c r="F86" s="99"/>
      <c r="G86" s="99"/>
      <c r="H86" s="99"/>
    </row>
    <row r="87">
      <c r="F87" s="99"/>
      <c r="G87" s="99"/>
      <c r="H87" s="99"/>
    </row>
    <row r="88">
      <c r="F88" s="99"/>
      <c r="G88" s="99"/>
      <c r="H88" s="99"/>
    </row>
    <row r="89">
      <c r="F89" s="99"/>
      <c r="G89" s="99"/>
      <c r="H89" s="99"/>
    </row>
    <row r="90">
      <c r="F90" s="99"/>
      <c r="G90" s="99"/>
      <c r="H90" s="99"/>
    </row>
    <row r="91">
      <c r="F91" s="99"/>
      <c r="G91" s="99"/>
      <c r="H91" s="99"/>
    </row>
    <row r="92">
      <c r="F92" s="99"/>
      <c r="G92" s="99"/>
      <c r="H92" s="99"/>
    </row>
    <row r="93">
      <c r="F93" s="99"/>
      <c r="G93" s="99"/>
      <c r="H93" s="99"/>
    </row>
    <row r="94">
      <c r="F94" s="99"/>
      <c r="G94" s="99"/>
      <c r="H94" s="99"/>
    </row>
    <row r="95">
      <c r="F95" s="99"/>
      <c r="G95" s="99"/>
      <c r="H95" s="99"/>
    </row>
    <row r="96">
      <c r="F96" s="99"/>
      <c r="G96" s="99"/>
      <c r="H96" s="99"/>
    </row>
    <row r="97">
      <c r="F97" s="99"/>
      <c r="G97" s="99"/>
      <c r="H97" s="99"/>
    </row>
    <row r="98">
      <c r="F98" s="99"/>
      <c r="G98" s="99"/>
      <c r="H98" s="99"/>
    </row>
    <row r="99">
      <c r="F99" s="99"/>
      <c r="G99" s="99"/>
      <c r="H99" s="99"/>
    </row>
    <row r="100">
      <c r="F100" s="99"/>
      <c r="G100" s="99"/>
      <c r="H100" s="99"/>
    </row>
    <row r="101">
      <c r="F101" s="99"/>
      <c r="G101" s="99"/>
      <c r="H101" s="99"/>
    </row>
    <row r="102">
      <c r="F102" s="99"/>
      <c r="G102" s="99"/>
      <c r="H102" s="99"/>
    </row>
    <row r="103">
      <c r="F103" s="99"/>
      <c r="G103" s="99"/>
      <c r="H103" s="99"/>
    </row>
    <row r="104">
      <c r="F104" s="99"/>
      <c r="G104" s="99"/>
      <c r="H104" s="99"/>
    </row>
    <row r="105">
      <c r="F105" s="99"/>
      <c r="G105" s="99"/>
      <c r="H105" s="99"/>
    </row>
    <row r="106">
      <c r="F106" s="99"/>
      <c r="G106" s="99"/>
      <c r="H106" s="99"/>
    </row>
    <row r="107">
      <c r="F107" s="99"/>
      <c r="G107" s="99"/>
      <c r="H107" s="99"/>
    </row>
    <row r="108">
      <c r="F108" s="99"/>
      <c r="G108" s="99"/>
      <c r="H108" s="99"/>
    </row>
    <row r="109">
      <c r="F109" s="99"/>
      <c r="G109" s="99"/>
      <c r="H109" s="99"/>
    </row>
    <row r="110">
      <c r="F110" s="99"/>
      <c r="G110" s="99"/>
      <c r="H110" s="99"/>
    </row>
    <row r="111">
      <c r="F111" s="99"/>
      <c r="G111" s="99"/>
      <c r="H111" s="99"/>
    </row>
    <row r="112">
      <c r="F112" s="99"/>
      <c r="G112" s="99"/>
      <c r="H112" s="99"/>
    </row>
    <row r="113">
      <c r="F113" s="99"/>
      <c r="G113" s="99"/>
      <c r="H113" s="99"/>
    </row>
    <row r="114">
      <c r="F114" s="99"/>
      <c r="G114" s="99"/>
      <c r="H114" s="99"/>
    </row>
    <row r="115">
      <c r="F115" s="99"/>
      <c r="G115" s="99"/>
      <c r="H115" s="99"/>
    </row>
    <row r="116">
      <c r="F116" s="99"/>
      <c r="G116" s="99"/>
      <c r="H116" s="99"/>
    </row>
    <row r="117">
      <c r="F117" s="99"/>
      <c r="G117" s="99"/>
      <c r="H117" s="99"/>
    </row>
    <row r="118">
      <c r="F118" s="99"/>
      <c r="G118" s="99"/>
      <c r="H118" s="99"/>
    </row>
    <row r="119">
      <c r="F119" s="99"/>
      <c r="G119" s="99"/>
      <c r="H119" s="99"/>
    </row>
    <row r="120">
      <c r="F120" s="99"/>
      <c r="G120" s="99"/>
      <c r="H120" s="99"/>
    </row>
    <row r="121">
      <c r="F121" s="99"/>
      <c r="G121" s="99"/>
      <c r="H121" s="99"/>
    </row>
    <row r="122">
      <c r="F122" s="99"/>
      <c r="G122" s="99"/>
      <c r="H122" s="99"/>
    </row>
    <row r="123">
      <c r="F123" s="99"/>
      <c r="G123" s="99"/>
      <c r="H123" s="99"/>
    </row>
    <row r="124">
      <c r="F124" s="99"/>
      <c r="G124" s="99"/>
      <c r="H124" s="99"/>
    </row>
    <row r="125">
      <c r="F125" s="99"/>
      <c r="G125" s="99"/>
      <c r="H125" s="99"/>
    </row>
    <row r="126">
      <c r="F126" s="99"/>
      <c r="G126" s="99"/>
      <c r="H126" s="99"/>
    </row>
    <row r="127">
      <c r="F127" s="99"/>
      <c r="G127" s="99"/>
      <c r="H127" s="99"/>
    </row>
    <row r="128">
      <c r="F128" s="99"/>
      <c r="G128" s="99"/>
      <c r="H128" s="99"/>
    </row>
    <row r="129">
      <c r="F129" s="99"/>
      <c r="G129" s="99"/>
      <c r="H129" s="99"/>
    </row>
    <row r="130">
      <c r="F130" s="99"/>
      <c r="G130" s="99"/>
      <c r="H130" s="99"/>
    </row>
    <row r="131">
      <c r="F131" s="99"/>
      <c r="G131" s="99"/>
      <c r="H131" s="99"/>
    </row>
    <row r="132">
      <c r="F132" s="99"/>
      <c r="G132" s="99"/>
      <c r="H132" s="99"/>
    </row>
    <row r="133">
      <c r="F133" s="99"/>
      <c r="G133" s="99"/>
      <c r="H133" s="99"/>
    </row>
    <row r="134">
      <c r="F134" s="99"/>
      <c r="G134" s="99"/>
      <c r="H134" s="99"/>
    </row>
    <row r="135">
      <c r="F135" s="99"/>
      <c r="G135" s="99"/>
      <c r="H135" s="99"/>
    </row>
    <row r="136">
      <c r="F136" s="99"/>
      <c r="G136" s="99"/>
      <c r="H136" s="99"/>
    </row>
    <row r="137">
      <c r="F137" s="99"/>
      <c r="G137" s="99"/>
      <c r="H137" s="99"/>
    </row>
    <row r="138">
      <c r="F138" s="99"/>
      <c r="G138" s="99"/>
      <c r="H138" s="99"/>
    </row>
    <row r="139">
      <c r="F139" s="99"/>
      <c r="G139" s="99"/>
      <c r="H139" s="99"/>
    </row>
    <row r="140">
      <c r="F140" s="99"/>
      <c r="G140" s="99"/>
      <c r="H140" s="99"/>
    </row>
    <row r="141">
      <c r="F141" s="99"/>
      <c r="G141" s="99"/>
      <c r="H141" s="99"/>
    </row>
    <row r="142">
      <c r="F142" s="99"/>
      <c r="G142" s="99"/>
      <c r="H142" s="99"/>
    </row>
    <row r="143">
      <c r="F143" s="99"/>
      <c r="G143" s="99"/>
      <c r="H143" s="99"/>
    </row>
    <row r="144">
      <c r="F144" s="99"/>
      <c r="G144" s="99"/>
      <c r="H144" s="99"/>
    </row>
    <row r="145">
      <c r="F145" s="99"/>
      <c r="G145" s="99"/>
      <c r="H145" s="99"/>
    </row>
    <row r="146">
      <c r="F146" s="99"/>
      <c r="G146" s="99"/>
      <c r="H146" s="99"/>
    </row>
    <row r="147">
      <c r="F147" s="99"/>
      <c r="G147" s="99"/>
      <c r="H147" s="99"/>
    </row>
    <row r="148">
      <c r="F148" s="99"/>
      <c r="G148" s="99"/>
      <c r="H148" s="99"/>
    </row>
    <row r="149">
      <c r="F149" s="99"/>
      <c r="G149" s="99"/>
      <c r="H149" s="99"/>
    </row>
    <row r="150">
      <c r="F150" s="99"/>
      <c r="G150" s="99"/>
      <c r="H150" s="99"/>
    </row>
    <row r="151">
      <c r="F151" s="99"/>
      <c r="G151" s="99"/>
      <c r="H151" s="99"/>
    </row>
    <row r="152">
      <c r="F152" s="99"/>
      <c r="G152" s="99"/>
      <c r="H152" s="99"/>
    </row>
    <row r="153">
      <c r="F153" s="99"/>
      <c r="G153" s="99"/>
      <c r="H153" s="99"/>
    </row>
    <row r="154">
      <c r="F154" s="99"/>
      <c r="G154" s="99"/>
      <c r="H154" s="99"/>
    </row>
    <row r="155">
      <c r="F155" s="99"/>
      <c r="G155" s="99"/>
      <c r="H155" s="99"/>
    </row>
    <row r="156">
      <c r="F156" s="99"/>
      <c r="G156" s="99"/>
      <c r="H156" s="99"/>
    </row>
    <row r="157">
      <c r="F157" s="99"/>
      <c r="G157" s="99"/>
      <c r="H157" s="99"/>
    </row>
    <row r="158">
      <c r="F158" s="99"/>
      <c r="G158" s="99"/>
      <c r="H158" s="99"/>
    </row>
    <row r="159">
      <c r="F159" s="99"/>
      <c r="G159" s="99"/>
      <c r="H159" s="99"/>
    </row>
    <row r="160">
      <c r="F160" s="99"/>
      <c r="G160" s="99"/>
      <c r="H160" s="99"/>
    </row>
    <row r="161">
      <c r="F161" s="99"/>
      <c r="G161" s="99"/>
      <c r="H161" s="99"/>
    </row>
    <row r="162">
      <c r="F162" s="99"/>
      <c r="G162" s="99"/>
      <c r="H162" s="99"/>
    </row>
    <row r="163">
      <c r="F163" s="99"/>
      <c r="G163" s="99"/>
      <c r="H163" s="99"/>
    </row>
    <row r="164">
      <c r="F164" s="99"/>
      <c r="G164" s="99"/>
      <c r="H164" s="99"/>
    </row>
    <row r="165">
      <c r="F165" s="99"/>
      <c r="G165" s="99"/>
      <c r="H165" s="99"/>
    </row>
    <row r="166">
      <c r="F166" s="99"/>
      <c r="G166" s="99"/>
      <c r="H166" s="99"/>
    </row>
    <row r="167">
      <c r="F167" s="99"/>
      <c r="G167" s="99"/>
      <c r="H167" s="99"/>
    </row>
    <row r="168">
      <c r="F168" s="99"/>
      <c r="G168" s="99"/>
      <c r="H168" s="99"/>
    </row>
    <row r="169">
      <c r="F169" s="99"/>
      <c r="G169" s="99"/>
      <c r="H169" s="99"/>
    </row>
    <row r="170">
      <c r="F170" s="99"/>
      <c r="G170" s="99"/>
      <c r="H170" s="99"/>
    </row>
    <row r="171">
      <c r="F171" s="99"/>
      <c r="G171" s="99"/>
      <c r="H171" s="99"/>
    </row>
    <row r="172">
      <c r="F172" s="99"/>
      <c r="G172" s="99"/>
      <c r="H172" s="99"/>
    </row>
    <row r="173">
      <c r="F173" s="99"/>
      <c r="G173" s="99"/>
      <c r="H173" s="99"/>
    </row>
    <row r="174">
      <c r="F174" s="99"/>
      <c r="G174" s="99"/>
      <c r="H174" s="99"/>
    </row>
    <row r="175">
      <c r="F175" s="99"/>
      <c r="G175" s="99"/>
      <c r="H175" s="99"/>
    </row>
    <row r="176">
      <c r="F176" s="99"/>
      <c r="G176" s="99"/>
      <c r="H176" s="99"/>
    </row>
    <row r="177">
      <c r="F177" s="99"/>
      <c r="G177" s="99"/>
      <c r="H177" s="99"/>
    </row>
    <row r="178">
      <c r="F178" s="99"/>
      <c r="G178" s="99"/>
      <c r="H178" s="99"/>
    </row>
    <row r="179">
      <c r="F179" s="99"/>
      <c r="G179" s="99"/>
      <c r="H179" s="99"/>
    </row>
    <row r="180">
      <c r="F180" s="99"/>
      <c r="G180" s="99"/>
      <c r="H180" s="99"/>
    </row>
    <row r="181">
      <c r="F181" s="99"/>
      <c r="G181" s="99"/>
      <c r="H181" s="99"/>
    </row>
    <row r="182">
      <c r="F182" s="99"/>
      <c r="G182" s="99"/>
      <c r="H182" s="99"/>
    </row>
    <row r="183">
      <c r="F183" s="99"/>
      <c r="G183" s="99"/>
      <c r="H183" s="99"/>
    </row>
    <row r="184">
      <c r="F184" s="99"/>
      <c r="G184" s="99"/>
      <c r="H184" s="99"/>
    </row>
    <row r="185">
      <c r="F185" s="99"/>
      <c r="G185" s="99"/>
      <c r="H185" s="99"/>
    </row>
    <row r="186">
      <c r="F186" s="99"/>
      <c r="G186" s="99"/>
      <c r="H186" s="99"/>
    </row>
    <row r="187">
      <c r="F187" s="99"/>
      <c r="G187" s="99"/>
      <c r="H187" s="99"/>
    </row>
    <row r="188">
      <c r="F188" s="99"/>
      <c r="G188" s="99"/>
      <c r="H188" s="99"/>
    </row>
    <row r="189">
      <c r="F189" s="99"/>
      <c r="G189" s="99"/>
      <c r="H189" s="99"/>
    </row>
    <row r="190">
      <c r="F190" s="99"/>
      <c r="G190" s="99"/>
      <c r="H190" s="99"/>
    </row>
    <row r="191">
      <c r="F191" s="99"/>
      <c r="G191" s="99"/>
      <c r="H191" s="99"/>
    </row>
    <row r="192">
      <c r="F192" s="99"/>
      <c r="G192" s="99"/>
      <c r="H192" s="99"/>
    </row>
    <row r="193">
      <c r="F193" s="99"/>
      <c r="G193" s="99"/>
      <c r="H193" s="99"/>
    </row>
    <row r="194">
      <c r="F194" s="99"/>
      <c r="G194" s="99"/>
      <c r="H194" s="99"/>
    </row>
    <row r="195">
      <c r="F195" s="99"/>
      <c r="G195" s="99"/>
      <c r="H195" s="99"/>
    </row>
    <row r="196">
      <c r="F196" s="99"/>
      <c r="G196" s="99"/>
      <c r="H196" s="99"/>
    </row>
    <row r="197">
      <c r="F197" s="99"/>
      <c r="G197" s="99"/>
      <c r="H197" s="99"/>
    </row>
    <row r="198">
      <c r="F198" s="99"/>
      <c r="G198" s="99"/>
      <c r="H198" s="99"/>
    </row>
    <row r="199">
      <c r="F199" s="99"/>
      <c r="G199" s="99"/>
      <c r="H199" s="99"/>
    </row>
    <row r="200">
      <c r="F200" s="99"/>
      <c r="G200" s="99"/>
      <c r="H200" s="99"/>
    </row>
    <row r="201">
      <c r="F201" s="99"/>
      <c r="G201" s="99"/>
      <c r="H201" s="99"/>
    </row>
    <row r="202">
      <c r="F202" s="99"/>
      <c r="G202" s="99"/>
      <c r="H202" s="99"/>
    </row>
    <row r="203">
      <c r="F203" s="99"/>
      <c r="G203" s="99"/>
      <c r="H203" s="99"/>
    </row>
    <row r="204">
      <c r="F204" s="99"/>
      <c r="G204" s="99"/>
      <c r="H204" s="99"/>
    </row>
    <row r="205">
      <c r="F205" s="99"/>
      <c r="G205" s="99"/>
      <c r="H205" s="99"/>
    </row>
    <row r="206">
      <c r="F206" s="99"/>
      <c r="G206" s="99"/>
      <c r="H206" s="99"/>
    </row>
    <row r="207">
      <c r="F207" s="99"/>
      <c r="G207" s="99"/>
      <c r="H207" s="99"/>
    </row>
    <row r="208">
      <c r="F208" s="99"/>
      <c r="G208" s="99"/>
      <c r="H208" s="99"/>
    </row>
    <row r="209">
      <c r="F209" s="99"/>
      <c r="G209" s="99"/>
      <c r="H209" s="99"/>
    </row>
    <row r="210">
      <c r="F210" s="99"/>
      <c r="G210" s="99"/>
      <c r="H210" s="99"/>
    </row>
    <row r="211">
      <c r="F211" s="99"/>
      <c r="G211" s="99"/>
      <c r="H211" s="99"/>
    </row>
    <row r="212">
      <c r="F212" s="99"/>
      <c r="G212" s="99"/>
      <c r="H212" s="99"/>
    </row>
    <row r="213">
      <c r="F213" s="99"/>
      <c r="G213" s="99"/>
      <c r="H213" s="99"/>
    </row>
    <row r="214">
      <c r="F214" s="99"/>
      <c r="G214" s="99"/>
      <c r="H214" s="99"/>
    </row>
    <row r="215">
      <c r="F215" s="99"/>
      <c r="G215" s="99"/>
      <c r="H215" s="99"/>
    </row>
    <row r="216">
      <c r="F216" s="99"/>
      <c r="G216" s="99"/>
      <c r="H216" s="99"/>
    </row>
    <row r="217">
      <c r="F217" s="99"/>
      <c r="G217" s="99"/>
      <c r="H217" s="99"/>
    </row>
    <row r="218">
      <c r="F218" s="99"/>
      <c r="G218" s="99"/>
      <c r="H218" s="99"/>
    </row>
    <row r="219">
      <c r="F219" s="99"/>
      <c r="G219" s="99"/>
      <c r="H219" s="99"/>
    </row>
    <row r="220">
      <c r="F220" s="99"/>
      <c r="G220" s="99"/>
      <c r="H220" s="99"/>
    </row>
    <row r="221">
      <c r="F221" s="99"/>
      <c r="G221" s="99"/>
      <c r="H221" s="99"/>
    </row>
    <row r="222">
      <c r="F222" s="99"/>
      <c r="G222" s="99"/>
      <c r="H222" s="99"/>
    </row>
    <row r="223">
      <c r="F223" s="99"/>
      <c r="G223" s="99"/>
      <c r="H223" s="99"/>
    </row>
    <row r="224">
      <c r="F224" s="99"/>
      <c r="G224" s="99"/>
      <c r="H224" s="99"/>
    </row>
    <row r="225">
      <c r="F225" s="99"/>
      <c r="G225" s="99"/>
      <c r="H225" s="99"/>
    </row>
    <row r="226">
      <c r="F226" s="99"/>
      <c r="G226" s="99"/>
      <c r="H226" s="99"/>
    </row>
    <row r="227">
      <c r="F227" s="99"/>
      <c r="G227" s="99"/>
      <c r="H227" s="99"/>
    </row>
    <row r="228">
      <c r="F228" s="99"/>
      <c r="G228" s="99"/>
      <c r="H228" s="99"/>
    </row>
    <row r="229">
      <c r="F229" s="99"/>
      <c r="G229" s="99"/>
      <c r="H229" s="99"/>
    </row>
    <row r="230">
      <c r="F230" s="99"/>
      <c r="G230" s="99"/>
      <c r="H230" s="99"/>
    </row>
    <row r="231">
      <c r="F231" s="99"/>
      <c r="G231" s="99"/>
      <c r="H231" s="99"/>
    </row>
    <row r="232">
      <c r="F232" s="99"/>
      <c r="G232" s="99"/>
      <c r="H232" s="99"/>
    </row>
    <row r="233">
      <c r="F233" s="99"/>
      <c r="G233" s="99"/>
      <c r="H233" s="99"/>
    </row>
    <row r="234">
      <c r="F234" s="99"/>
      <c r="G234" s="99"/>
      <c r="H234" s="99"/>
    </row>
    <row r="235">
      <c r="F235" s="99"/>
      <c r="G235" s="99"/>
      <c r="H235" s="99"/>
    </row>
    <row r="236">
      <c r="F236" s="99"/>
      <c r="G236" s="99"/>
      <c r="H236" s="99"/>
    </row>
    <row r="237">
      <c r="F237" s="99"/>
      <c r="G237" s="99"/>
      <c r="H237" s="99"/>
    </row>
    <row r="238">
      <c r="F238" s="99"/>
      <c r="G238" s="99"/>
      <c r="H238" s="99"/>
    </row>
    <row r="239">
      <c r="F239" s="99"/>
      <c r="G239" s="99"/>
      <c r="H239" s="99"/>
    </row>
    <row r="240">
      <c r="F240" s="99"/>
      <c r="G240" s="99"/>
      <c r="H240" s="99"/>
    </row>
    <row r="241">
      <c r="F241" s="99"/>
      <c r="G241" s="99"/>
      <c r="H241" s="99"/>
    </row>
    <row r="242">
      <c r="F242" s="99"/>
      <c r="G242" s="99"/>
      <c r="H242" s="99"/>
    </row>
    <row r="243">
      <c r="F243" s="99"/>
      <c r="G243" s="99"/>
      <c r="H243" s="99"/>
    </row>
    <row r="244">
      <c r="F244" s="99"/>
      <c r="G244" s="99"/>
      <c r="H244" s="99"/>
    </row>
    <row r="245">
      <c r="F245" s="99"/>
      <c r="G245" s="99"/>
      <c r="H245" s="99"/>
    </row>
    <row r="246">
      <c r="F246" s="99"/>
      <c r="G246" s="99"/>
      <c r="H246" s="99"/>
    </row>
    <row r="247">
      <c r="F247" s="99"/>
      <c r="G247" s="99"/>
      <c r="H247" s="99"/>
    </row>
    <row r="248">
      <c r="F248" s="99"/>
      <c r="G248" s="99"/>
      <c r="H248" s="99"/>
    </row>
    <row r="249">
      <c r="F249" s="99"/>
      <c r="G249" s="99"/>
      <c r="H249" s="99"/>
    </row>
    <row r="250">
      <c r="F250" s="99"/>
      <c r="G250" s="99"/>
      <c r="H250" s="99"/>
    </row>
    <row r="251">
      <c r="F251" s="99"/>
      <c r="G251" s="99"/>
      <c r="H251" s="99"/>
    </row>
    <row r="252">
      <c r="F252" s="99"/>
      <c r="G252" s="99"/>
      <c r="H252" s="99"/>
    </row>
    <row r="253">
      <c r="F253" s="99"/>
      <c r="G253" s="99"/>
      <c r="H253" s="99"/>
    </row>
    <row r="254">
      <c r="F254" s="99"/>
      <c r="G254" s="99"/>
      <c r="H254" s="99"/>
    </row>
    <row r="255">
      <c r="F255" s="99"/>
      <c r="G255" s="99"/>
      <c r="H255" s="99"/>
    </row>
    <row r="256">
      <c r="F256" s="99"/>
      <c r="G256" s="99"/>
      <c r="H256" s="99"/>
    </row>
    <row r="257">
      <c r="F257" s="99"/>
      <c r="G257" s="99"/>
      <c r="H257" s="99"/>
    </row>
    <row r="258">
      <c r="F258" s="99"/>
      <c r="G258" s="99"/>
      <c r="H258" s="99"/>
    </row>
    <row r="259">
      <c r="F259" s="99"/>
      <c r="G259" s="99"/>
      <c r="H259" s="99"/>
    </row>
    <row r="260">
      <c r="F260" s="99"/>
      <c r="G260" s="99"/>
      <c r="H260" s="99"/>
    </row>
    <row r="261">
      <c r="F261" s="99"/>
      <c r="G261" s="99"/>
      <c r="H261" s="99"/>
    </row>
    <row r="262">
      <c r="F262" s="99"/>
      <c r="G262" s="99"/>
      <c r="H262" s="99"/>
    </row>
    <row r="263">
      <c r="F263" s="99"/>
      <c r="G263" s="99"/>
      <c r="H263" s="99"/>
    </row>
    <row r="264">
      <c r="F264" s="99"/>
      <c r="G264" s="99"/>
      <c r="H264" s="99"/>
    </row>
    <row r="265">
      <c r="F265" s="99"/>
      <c r="G265" s="99"/>
      <c r="H265" s="99"/>
    </row>
    <row r="266">
      <c r="F266" s="99"/>
      <c r="G266" s="99"/>
      <c r="H266" s="99"/>
    </row>
    <row r="267">
      <c r="F267" s="99"/>
      <c r="G267" s="99"/>
      <c r="H267" s="99"/>
    </row>
    <row r="268">
      <c r="F268" s="99"/>
      <c r="G268" s="99"/>
      <c r="H268" s="99"/>
    </row>
    <row r="269">
      <c r="F269" s="99"/>
      <c r="G269" s="99"/>
      <c r="H269" s="99"/>
    </row>
    <row r="270">
      <c r="F270" s="99"/>
      <c r="G270" s="99"/>
      <c r="H270" s="99"/>
    </row>
    <row r="271">
      <c r="F271" s="99"/>
      <c r="G271" s="99"/>
      <c r="H271" s="99"/>
    </row>
    <row r="272">
      <c r="F272" s="99"/>
      <c r="G272" s="99"/>
      <c r="H272" s="99"/>
    </row>
    <row r="273">
      <c r="F273" s="99"/>
      <c r="G273" s="99"/>
      <c r="H273" s="99"/>
    </row>
    <row r="274">
      <c r="F274" s="99"/>
      <c r="G274" s="99"/>
      <c r="H274" s="99"/>
    </row>
    <row r="275">
      <c r="F275" s="99"/>
      <c r="G275" s="99"/>
      <c r="H275" s="99"/>
    </row>
    <row r="276">
      <c r="F276" s="99"/>
      <c r="G276" s="99"/>
      <c r="H276" s="99"/>
    </row>
    <row r="277">
      <c r="F277" s="99"/>
      <c r="G277" s="99"/>
      <c r="H277" s="99"/>
    </row>
    <row r="278">
      <c r="F278" s="99"/>
      <c r="G278" s="99"/>
      <c r="H278" s="99"/>
    </row>
    <row r="279">
      <c r="F279" s="99"/>
      <c r="G279" s="99"/>
      <c r="H279" s="99"/>
    </row>
    <row r="280">
      <c r="F280" s="99"/>
      <c r="G280" s="99"/>
      <c r="H280" s="99"/>
    </row>
    <row r="281">
      <c r="F281" s="99"/>
      <c r="G281" s="99"/>
      <c r="H281" s="99"/>
    </row>
    <row r="282">
      <c r="F282" s="99"/>
      <c r="G282" s="99"/>
      <c r="H282" s="99"/>
    </row>
    <row r="283">
      <c r="F283" s="99"/>
      <c r="G283" s="99"/>
      <c r="H283" s="99"/>
    </row>
    <row r="284">
      <c r="F284" s="99"/>
      <c r="G284" s="99"/>
      <c r="H284" s="99"/>
    </row>
    <row r="285">
      <c r="F285" s="99"/>
      <c r="G285" s="99"/>
      <c r="H285" s="99"/>
    </row>
    <row r="286">
      <c r="F286" s="99"/>
      <c r="G286" s="99"/>
      <c r="H286" s="99"/>
    </row>
    <row r="287">
      <c r="F287" s="99"/>
      <c r="G287" s="99"/>
      <c r="H287" s="99"/>
    </row>
    <row r="288">
      <c r="F288" s="99"/>
      <c r="G288" s="99"/>
      <c r="H288" s="99"/>
    </row>
    <row r="289">
      <c r="F289" s="99"/>
      <c r="G289" s="99"/>
      <c r="H289" s="99"/>
    </row>
    <row r="290">
      <c r="F290" s="99"/>
      <c r="G290" s="99"/>
      <c r="H290" s="99"/>
    </row>
    <row r="291">
      <c r="F291" s="99"/>
      <c r="G291" s="99"/>
      <c r="H291" s="99"/>
    </row>
    <row r="292">
      <c r="F292" s="99"/>
      <c r="G292" s="99"/>
      <c r="H292" s="99"/>
    </row>
    <row r="293">
      <c r="F293" s="99"/>
      <c r="G293" s="99"/>
      <c r="H293" s="99"/>
    </row>
    <row r="294">
      <c r="F294" s="99"/>
      <c r="G294" s="99"/>
      <c r="H294" s="99"/>
    </row>
    <row r="295">
      <c r="F295" s="99"/>
      <c r="G295" s="99"/>
      <c r="H295" s="99"/>
    </row>
    <row r="296">
      <c r="F296" s="99"/>
      <c r="G296" s="99"/>
      <c r="H296" s="99"/>
    </row>
    <row r="297">
      <c r="F297" s="99"/>
      <c r="G297" s="99"/>
      <c r="H297" s="99"/>
    </row>
    <row r="298">
      <c r="F298" s="99"/>
      <c r="G298" s="99"/>
      <c r="H298" s="99"/>
    </row>
    <row r="299">
      <c r="F299" s="99"/>
      <c r="G299" s="99"/>
      <c r="H299" s="99"/>
    </row>
    <row r="300">
      <c r="F300" s="99"/>
      <c r="G300" s="99"/>
      <c r="H300" s="99"/>
    </row>
    <row r="301">
      <c r="F301" s="99"/>
      <c r="G301" s="99"/>
      <c r="H301" s="99"/>
    </row>
    <row r="302">
      <c r="F302" s="99"/>
      <c r="G302" s="99"/>
      <c r="H302" s="99"/>
    </row>
    <row r="303">
      <c r="F303" s="99"/>
      <c r="G303" s="99"/>
      <c r="H303" s="99"/>
    </row>
    <row r="304">
      <c r="F304" s="99"/>
      <c r="G304" s="99"/>
      <c r="H304" s="99"/>
    </row>
    <row r="305">
      <c r="F305" s="99"/>
      <c r="G305" s="99"/>
      <c r="H305" s="99"/>
    </row>
    <row r="306">
      <c r="F306" s="99"/>
      <c r="G306" s="99"/>
      <c r="H306" s="99"/>
    </row>
    <row r="307">
      <c r="F307" s="99"/>
      <c r="G307" s="99"/>
      <c r="H307" s="99"/>
    </row>
    <row r="308">
      <c r="F308" s="99"/>
      <c r="G308" s="99"/>
      <c r="H308" s="99"/>
    </row>
    <row r="309">
      <c r="F309" s="99"/>
      <c r="G309" s="99"/>
      <c r="H309" s="99"/>
    </row>
    <row r="310">
      <c r="F310" s="99"/>
      <c r="G310" s="99"/>
      <c r="H310" s="99"/>
    </row>
    <row r="311">
      <c r="F311" s="99"/>
      <c r="G311" s="99"/>
      <c r="H311" s="99"/>
    </row>
    <row r="312">
      <c r="F312" s="99"/>
      <c r="G312" s="99"/>
      <c r="H312" s="99"/>
    </row>
    <row r="313">
      <c r="F313" s="99"/>
      <c r="G313" s="99"/>
      <c r="H313" s="99"/>
    </row>
    <row r="314">
      <c r="F314" s="99"/>
      <c r="G314" s="99"/>
      <c r="H314" s="99"/>
    </row>
    <row r="315">
      <c r="F315" s="99"/>
      <c r="G315" s="99"/>
      <c r="H315" s="99"/>
    </row>
    <row r="316">
      <c r="F316" s="99"/>
      <c r="G316" s="99"/>
      <c r="H316" s="99"/>
    </row>
    <row r="317">
      <c r="F317" s="99"/>
      <c r="G317" s="99"/>
      <c r="H317" s="99"/>
    </row>
    <row r="318">
      <c r="F318" s="99"/>
      <c r="G318" s="99"/>
      <c r="H318" s="99"/>
    </row>
    <row r="319">
      <c r="F319" s="99"/>
      <c r="G319" s="99"/>
      <c r="H319" s="99"/>
    </row>
    <row r="320">
      <c r="F320" s="99"/>
      <c r="G320" s="99"/>
      <c r="H320" s="99"/>
    </row>
    <row r="321">
      <c r="F321" s="99"/>
      <c r="G321" s="99"/>
      <c r="H321" s="99"/>
    </row>
    <row r="322">
      <c r="F322" s="99"/>
      <c r="G322" s="99"/>
      <c r="H322" s="99"/>
    </row>
    <row r="323">
      <c r="F323" s="99"/>
      <c r="G323" s="99"/>
      <c r="H323" s="99"/>
    </row>
    <row r="324">
      <c r="F324" s="99"/>
      <c r="G324" s="99"/>
      <c r="H324" s="99"/>
    </row>
    <row r="325">
      <c r="F325" s="99"/>
      <c r="G325" s="99"/>
      <c r="H325" s="99"/>
    </row>
    <row r="326">
      <c r="F326" s="99"/>
      <c r="G326" s="99"/>
      <c r="H326" s="99"/>
    </row>
    <row r="327">
      <c r="F327" s="99"/>
      <c r="G327" s="99"/>
      <c r="H327" s="99"/>
    </row>
    <row r="328">
      <c r="F328" s="99"/>
      <c r="G328" s="99"/>
      <c r="H328" s="99"/>
    </row>
    <row r="329">
      <c r="F329" s="99"/>
      <c r="G329" s="99"/>
      <c r="H329" s="99"/>
    </row>
    <row r="330">
      <c r="F330" s="99"/>
      <c r="G330" s="99"/>
      <c r="H330" s="99"/>
    </row>
    <row r="331">
      <c r="F331" s="99"/>
      <c r="G331" s="99"/>
      <c r="H331" s="99"/>
    </row>
    <row r="332">
      <c r="F332" s="99"/>
      <c r="G332" s="99"/>
      <c r="H332" s="99"/>
    </row>
    <row r="333">
      <c r="F333" s="99"/>
      <c r="G333" s="99"/>
      <c r="H333" s="99"/>
    </row>
    <row r="334">
      <c r="F334" s="99"/>
      <c r="G334" s="99"/>
      <c r="H334" s="99"/>
    </row>
    <row r="335">
      <c r="F335" s="99"/>
      <c r="G335" s="99"/>
      <c r="H335" s="99"/>
    </row>
    <row r="336">
      <c r="F336" s="99"/>
      <c r="G336" s="99"/>
      <c r="H336" s="99"/>
    </row>
    <row r="337">
      <c r="F337" s="99"/>
      <c r="G337" s="99"/>
      <c r="H337" s="99"/>
    </row>
    <row r="338">
      <c r="F338" s="99"/>
      <c r="G338" s="99"/>
      <c r="H338" s="99"/>
    </row>
    <row r="339">
      <c r="F339" s="99"/>
      <c r="G339" s="99"/>
      <c r="H339" s="99"/>
    </row>
    <row r="340">
      <c r="F340" s="99"/>
      <c r="G340" s="99"/>
      <c r="H340" s="99"/>
    </row>
    <row r="341">
      <c r="F341" s="99"/>
      <c r="G341" s="99"/>
      <c r="H341" s="99"/>
    </row>
    <row r="342">
      <c r="F342" s="99"/>
      <c r="G342" s="99"/>
      <c r="H342" s="99"/>
    </row>
    <row r="343">
      <c r="F343" s="99"/>
      <c r="G343" s="99"/>
      <c r="H343" s="99"/>
    </row>
    <row r="344">
      <c r="F344" s="99"/>
      <c r="G344" s="99"/>
      <c r="H344" s="99"/>
    </row>
    <row r="345">
      <c r="F345" s="99"/>
      <c r="G345" s="99"/>
      <c r="H345" s="99"/>
    </row>
    <row r="346">
      <c r="F346" s="99"/>
      <c r="G346" s="99"/>
      <c r="H346" s="99"/>
    </row>
    <row r="347">
      <c r="F347" s="99"/>
      <c r="G347" s="99"/>
      <c r="H347" s="99"/>
    </row>
    <row r="348">
      <c r="F348" s="99"/>
      <c r="G348" s="99"/>
      <c r="H348" s="99"/>
    </row>
    <row r="349">
      <c r="F349" s="99"/>
      <c r="G349" s="99"/>
      <c r="H349" s="99"/>
    </row>
    <row r="350">
      <c r="F350" s="99"/>
      <c r="G350" s="99"/>
      <c r="H350" s="99"/>
    </row>
    <row r="351">
      <c r="F351" s="99"/>
      <c r="G351" s="99"/>
      <c r="H351" s="99"/>
    </row>
    <row r="352">
      <c r="F352" s="99"/>
      <c r="G352" s="99"/>
      <c r="H352" s="99"/>
    </row>
    <row r="353">
      <c r="F353" s="99"/>
      <c r="G353" s="99"/>
      <c r="H353" s="99"/>
    </row>
    <row r="354">
      <c r="F354" s="99"/>
      <c r="G354" s="99"/>
      <c r="H354" s="99"/>
    </row>
    <row r="355">
      <c r="F355" s="99"/>
      <c r="G355" s="99"/>
      <c r="H355" s="99"/>
    </row>
    <row r="356">
      <c r="F356" s="99"/>
      <c r="G356" s="99"/>
      <c r="H356" s="99"/>
    </row>
    <row r="357">
      <c r="F357" s="99"/>
      <c r="G357" s="99"/>
      <c r="H357" s="99"/>
    </row>
    <row r="358">
      <c r="F358" s="99"/>
      <c r="G358" s="99"/>
      <c r="H358" s="99"/>
    </row>
    <row r="359">
      <c r="F359" s="99"/>
      <c r="G359" s="99"/>
      <c r="H359" s="99"/>
    </row>
    <row r="360">
      <c r="F360" s="99"/>
      <c r="G360" s="99"/>
      <c r="H360" s="99"/>
    </row>
    <row r="361">
      <c r="F361" s="99"/>
      <c r="G361" s="99"/>
      <c r="H361" s="99"/>
    </row>
    <row r="362">
      <c r="F362" s="99"/>
      <c r="G362" s="99"/>
      <c r="H362" s="99"/>
    </row>
    <row r="363">
      <c r="F363" s="99"/>
      <c r="G363" s="99"/>
      <c r="H363" s="99"/>
    </row>
    <row r="364">
      <c r="F364" s="99"/>
      <c r="G364" s="99"/>
      <c r="H364" s="99"/>
    </row>
    <row r="365">
      <c r="F365" s="99"/>
      <c r="G365" s="99"/>
      <c r="H365" s="99"/>
    </row>
    <row r="366">
      <c r="F366" s="99"/>
      <c r="G366" s="99"/>
      <c r="H366" s="99"/>
    </row>
    <row r="367">
      <c r="F367" s="99"/>
      <c r="G367" s="99"/>
      <c r="H367" s="99"/>
    </row>
    <row r="368">
      <c r="F368" s="99"/>
      <c r="G368" s="99"/>
      <c r="H368" s="99"/>
    </row>
    <row r="369">
      <c r="F369" s="99"/>
      <c r="G369" s="99"/>
      <c r="H369" s="99"/>
    </row>
    <row r="370">
      <c r="F370" s="99"/>
      <c r="G370" s="99"/>
      <c r="H370" s="99"/>
    </row>
    <row r="371">
      <c r="F371" s="99"/>
      <c r="G371" s="99"/>
      <c r="H371" s="99"/>
    </row>
    <row r="372">
      <c r="F372" s="99"/>
      <c r="G372" s="99"/>
      <c r="H372" s="99"/>
    </row>
    <row r="373">
      <c r="F373" s="99"/>
      <c r="G373" s="99"/>
      <c r="H373" s="99"/>
    </row>
    <row r="374">
      <c r="F374" s="99"/>
      <c r="G374" s="99"/>
      <c r="H374" s="99"/>
    </row>
    <row r="375">
      <c r="F375" s="99"/>
      <c r="G375" s="99"/>
      <c r="H375" s="99"/>
    </row>
    <row r="376">
      <c r="F376" s="99"/>
      <c r="G376" s="99"/>
      <c r="H376" s="99"/>
    </row>
    <row r="377">
      <c r="F377" s="99"/>
      <c r="G377" s="99"/>
      <c r="H377" s="99"/>
    </row>
    <row r="378">
      <c r="F378" s="99"/>
      <c r="G378" s="99"/>
      <c r="H378" s="99"/>
    </row>
    <row r="379">
      <c r="F379" s="99"/>
      <c r="G379" s="99"/>
      <c r="H379" s="99"/>
    </row>
    <row r="380">
      <c r="F380" s="99"/>
      <c r="G380" s="99"/>
      <c r="H380" s="99"/>
    </row>
    <row r="381">
      <c r="F381" s="99"/>
      <c r="G381" s="99"/>
      <c r="H381" s="99"/>
    </row>
    <row r="382">
      <c r="F382" s="99"/>
      <c r="G382" s="99"/>
      <c r="H382" s="99"/>
    </row>
    <row r="383">
      <c r="F383" s="99"/>
      <c r="G383" s="99"/>
      <c r="H383" s="99"/>
    </row>
    <row r="384">
      <c r="F384" s="99"/>
      <c r="G384" s="99"/>
      <c r="H384" s="99"/>
    </row>
    <row r="385">
      <c r="F385" s="99"/>
      <c r="G385" s="99"/>
      <c r="H385" s="99"/>
    </row>
    <row r="386">
      <c r="F386" s="99"/>
      <c r="G386" s="99"/>
      <c r="H386" s="99"/>
    </row>
    <row r="387">
      <c r="F387" s="99"/>
      <c r="G387" s="99"/>
      <c r="H387" s="99"/>
    </row>
    <row r="388">
      <c r="F388" s="99"/>
      <c r="G388" s="99"/>
      <c r="H388" s="99"/>
    </row>
    <row r="389">
      <c r="F389" s="99"/>
      <c r="G389" s="99"/>
      <c r="H389" s="99"/>
    </row>
    <row r="390">
      <c r="F390" s="99"/>
      <c r="G390" s="99"/>
      <c r="H390" s="99"/>
    </row>
    <row r="391">
      <c r="F391" s="99"/>
      <c r="G391" s="99"/>
      <c r="H391" s="99"/>
    </row>
    <row r="392">
      <c r="F392" s="99"/>
      <c r="G392" s="99"/>
      <c r="H392" s="99"/>
    </row>
    <row r="393">
      <c r="F393" s="99"/>
      <c r="G393" s="99"/>
      <c r="H393" s="99"/>
    </row>
    <row r="394">
      <c r="F394" s="99"/>
      <c r="G394" s="99"/>
      <c r="H394" s="99"/>
    </row>
    <row r="395">
      <c r="F395" s="99"/>
      <c r="G395" s="99"/>
      <c r="H395" s="99"/>
    </row>
    <row r="396">
      <c r="F396" s="99"/>
      <c r="G396" s="99"/>
      <c r="H396" s="99"/>
    </row>
    <row r="397">
      <c r="F397" s="99"/>
      <c r="G397" s="99"/>
      <c r="H397" s="99"/>
    </row>
    <row r="398">
      <c r="F398" s="99"/>
      <c r="G398" s="99"/>
      <c r="H398" s="99"/>
    </row>
    <row r="399">
      <c r="F399" s="99"/>
      <c r="G399" s="99"/>
      <c r="H399" s="99"/>
    </row>
    <row r="400">
      <c r="F400" s="99"/>
      <c r="G400" s="99"/>
      <c r="H400" s="99"/>
    </row>
    <row r="401">
      <c r="F401" s="99"/>
      <c r="G401" s="99"/>
      <c r="H401" s="99"/>
    </row>
    <row r="402">
      <c r="F402" s="99"/>
      <c r="G402" s="99"/>
      <c r="H402" s="99"/>
    </row>
    <row r="403">
      <c r="F403" s="99"/>
      <c r="G403" s="99"/>
      <c r="H403" s="99"/>
    </row>
    <row r="404">
      <c r="F404" s="99"/>
      <c r="G404" s="99"/>
      <c r="H404" s="99"/>
    </row>
    <row r="405">
      <c r="F405" s="99"/>
      <c r="G405" s="99"/>
      <c r="H405" s="99"/>
    </row>
    <row r="406">
      <c r="F406" s="99"/>
      <c r="G406" s="99"/>
      <c r="H406" s="99"/>
    </row>
    <row r="407">
      <c r="F407" s="99"/>
      <c r="G407" s="99"/>
      <c r="H407" s="99"/>
    </row>
    <row r="408">
      <c r="F408" s="99"/>
      <c r="G408" s="99"/>
      <c r="H408" s="99"/>
    </row>
    <row r="409">
      <c r="F409" s="99"/>
      <c r="G409" s="99"/>
      <c r="H409" s="99"/>
    </row>
    <row r="410">
      <c r="F410" s="99"/>
      <c r="G410" s="99"/>
      <c r="H410" s="99"/>
    </row>
    <row r="411">
      <c r="F411" s="99"/>
      <c r="G411" s="99"/>
      <c r="H411" s="99"/>
    </row>
    <row r="412">
      <c r="F412" s="99"/>
      <c r="G412" s="99"/>
      <c r="H412" s="99"/>
    </row>
    <row r="413">
      <c r="F413" s="99"/>
      <c r="G413" s="99"/>
      <c r="H413" s="99"/>
    </row>
    <row r="414">
      <c r="F414" s="99"/>
      <c r="G414" s="99"/>
      <c r="H414" s="99"/>
    </row>
    <row r="415">
      <c r="F415" s="99"/>
      <c r="G415" s="99"/>
      <c r="H415" s="99"/>
    </row>
    <row r="416">
      <c r="F416" s="99"/>
      <c r="G416" s="99"/>
      <c r="H416" s="99"/>
    </row>
    <row r="417">
      <c r="F417" s="99"/>
      <c r="G417" s="99"/>
      <c r="H417" s="99"/>
    </row>
    <row r="418">
      <c r="F418" s="99"/>
      <c r="G418" s="99"/>
      <c r="H418" s="99"/>
    </row>
    <row r="419">
      <c r="F419" s="99"/>
      <c r="G419" s="99"/>
      <c r="H419" s="99"/>
    </row>
    <row r="420">
      <c r="F420" s="99"/>
      <c r="G420" s="99"/>
      <c r="H420" s="99"/>
    </row>
    <row r="421">
      <c r="F421" s="99"/>
      <c r="G421" s="99"/>
      <c r="H421" s="99"/>
    </row>
    <row r="422">
      <c r="F422" s="99"/>
      <c r="G422" s="99"/>
      <c r="H422" s="99"/>
    </row>
    <row r="423">
      <c r="F423" s="99"/>
      <c r="G423" s="99"/>
      <c r="H423" s="99"/>
    </row>
    <row r="424">
      <c r="F424" s="99"/>
      <c r="G424" s="99"/>
      <c r="H424" s="99"/>
    </row>
    <row r="425">
      <c r="F425" s="99"/>
      <c r="G425" s="99"/>
      <c r="H425" s="99"/>
    </row>
    <row r="426">
      <c r="F426" s="99"/>
      <c r="G426" s="99"/>
      <c r="H426" s="99"/>
    </row>
    <row r="427">
      <c r="F427" s="99"/>
      <c r="G427" s="99"/>
      <c r="H427" s="99"/>
    </row>
    <row r="428">
      <c r="F428" s="99"/>
      <c r="G428" s="99"/>
      <c r="H428" s="99"/>
    </row>
    <row r="429">
      <c r="F429" s="99"/>
      <c r="G429" s="99"/>
      <c r="H429" s="99"/>
    </row>
    <row r="430">
      <c r="F430" s="99"/>
      <c r="G430" s="99"/>
      <c r="H430" s="99"/>
    </row>
    <row r="431">
      <c r="F431" s="99"/>
      <c r="G431" s="99"/>
      <c r="H431" s="99"/>
    </row>
    <row r="432">
      <c r="F432" s="99"/>
      <c r="G432" s="99"/>
      <c r="H432" s="99"/>
    </row>
    <row r="433">
      <c r="F433" s="99"/>
      <c r="G433" s="99"/>
      <c r="H433" s="99"/>
    </row>
    <row r="434">
      <c r="F434" s="99"/>
      <c r="G434" s="99"/>
      <c r="H434" s="99"/>
    </row>
    <row r="435">
      <c r="F435" s="99"/>
      <c r="G435" s="99"/>
      <c r="H435" s="99"/>
    </row>
    <row r="436">
      <c r="F436" s="99"/>
      <c r="G436" s="99"/>
      <c r="H436" s="99"/>
    </row>
    <row r="437">
      <c r="F437" s="99"/>
      <c r="G437" s="99"/>
      <c r="H437" s="99"/>
    </row>
    <row r="438">
      <c r="F438" s="99"/>
      <c r="G438" s="99"/>
      <c r="H438" s="99"/>
    </row>
    <row r="439">
      <c r="F439" s="99"/>
      <c r="G439" s="99"/>
      <c r="H439" s="99"/>
    </row>
    <row r="440">
      <c r="F440" s="99"/>
      <c r="G440" s="99"/>
      <c r="H440" s="99"/>
    </row>
    <row r="441">
      <c r="F441" s="99"/>
      <c r="G441" s="99"/>
      <c r="H441" s="99"/>
    </row>
    <row r="442">
      <c r="F442" s="99"/>
      <c r="G442" s="99"/>
      <c r="H442" s="99"/>
    </row>
    <row r="443">
      <c r="F443" s="99"/>
      <c r="G443" s="99"/>
      <c r="H443" s="99"/>
    </row>
    <row r="444">
      <c r="F444" s="99"/>
      <c r="G444" s="99"/>
      <c r="H444" s="99"/>
    </row>
    <row r="445">
      <c r="F445" s="99"/>
      <c r="G445" s="99"/>
      <c r="H445" s="99"/>
    </row>
    <row r="446">
      <c r="F446" s="99"/>
      <c r="G446" s="99"/>
      <c r="H446" s="99"/>
    </row>
    <row r="447">
      <c r="F447" s="99"/>
      <c r="G447" s="99"/>
      <c r="H447" s="99"/>
    </row>
    <row r="448">
      <c r="F448" s="99"/>
      <c r="G448" s="99"/>
      <c r="H448" s="99"/>
    </row>
    <row r="449">
      <c r="F449" s="99"/>
      <c r="G449" s="99"/>
      <c r="H449" s="99"/>
    </row>
    <row r="450">
      <c r="F450" s="99"/>
      <c r="G450" s="99"/>
      <c r="H450" s="99"/>
    </row>
    <row r="451">
      <c r="F451" s="99"/>
      <c r="G451" s="99"/>
      <c r="H451" s="99"/>
    </row>
    <row r="452">
      <c r="F452" s="99"/>
      <c r="G452" s="99"/>
      <c r="H452" s="99"/>
    </row>
    <row r="453">
      <c r="F453" s="99"/>
      <c r="G453" s="99"/>
      <c r="H453" s="99"/>
    </row>
    <row r="454">
      <c r="F454" s="99"/>
      <c r="G454" s="99"/>
      <c r="H454" s="99"/>
    </row>
    <row r="455">
      <c r="F455" s="99"/>
      <c r="G455" s="99"/>
      <c r="H455" s="99"/>
    </row>
    <row r="456">
      <c r="F456" s="99"/>
      <c r="G456" s="99"/>
      <c r="H456" s="99"/>
    </row>
    <row r="457">
      <c r="F457" s="99"/>
      <c r="G457" s="99"/>
      <c r="H457" s="99"/>
    </row>
    <row r="458">
      <c r="F458" s="99"/>
      <c r="G458" s="99"/>
      <c r="H458" s="99"/>
    </row>
    <row r="459">
      <c r="F459" s="99"/>
      <c r="G459" s="99"/>
      <c r="H459" s="99"/>
    </row>
    <row r="460">
      <c r="F460" s="99"/>
      <c r="G460" s="99"/>
      <c r="H460" s="99"/>
    </row>
    <row r="461">
      <c r="F461" s="99"/>
      <c r="G461" s="99"/>
      <c r="H461" s="99"/>
    </row>
    <row r="462">
      <c r="F462" s="99"/>
      <c r="G462" s="99"/>
      <c r="H462" s="99"/>
    </row>
    <row r="463">
      <c r="F463" s="99"/>
      <c r="G463" s="99"/>
      <c r="H463" s="99"/>
    </row>
    <row r="464">
      <c r="F464" s="99"/>
      <c r="G464" s="99"/>
      <c r="H464" s="99"/>
    </row>
    <row r="465">
      <c r="F465" s="99"/>
      <c r="G465" s="99"/>
      <c r="H465" s="99"/>
    </row>
    <row r="466">
      <c r="F466" s="99"/>
      <c r="G466" s="99"/>
      <c r="H466" s="99"/>
    </row>
    <row r="467">
      <c r="F467" s="99"/>
      <c r="G467" s="99"/>
      <c r="H467" s="99"/>
    </row>
    <row r="468">
      <c r="F468" s="99"/>
      <c r="G468" s="99"/>
      <c r="H468" s="99"/>
    </row>
    <row r="469">
      <c r="F469" s="99"/>
      <c r="G469" s="99"/>
      <c r="H469" s="99"/>
    </row>
    <row r="470">
      <c r="F470" s="99"/>
      <c r="G470" s="99"/>
      <c r="H470" s="99"/>
    </row>
    <row r="471">
      <c r="F471" s="99"/>
      <c r="G471" s="99"/>
      <c r="H471" s="99"/>
    </row>
    <row r="472">
      <c r="F472" s="99"/>
      <c r="G472" s="99"/>
      <c r="H472" s="99"/>
    </row>
    <row r="473">
      <c r="F473" s="99"/>
      <c r="G473" s="99"/>
      <c r="H473" s="99"/>
    </row>
    <row r="474">
      <c r="F474" s="99"/>
      <c r="G474" s="99"/>
      <c r="H474" s="99"/>
    </row>
    <row r="475">
      <c r="F475" s="99"/>
      <c r="G475" s="99"/>
      <c r="H475" s="99"/>
    </row>
    <row r="476">
      <c r="F476" s="99"/>
      <c r="G476" s="99"/>
      <c r="H476" s="99"/>
    </row>
    <row r="477">
      <c r="F477" s="99"/>
      <c r="G477" s="99"/>
      <c r="H477" s="99"/>
    </row>
    <row r="478">
      <c r="F478" s="99"/>
      <c r="G478" s="99"/>
      <c r="H478" s="99"/>
    </row>
    <row r="479">
      <c r="F479" s="99"/>
      <c r="G479" s="99"/>
      <c r="H479" s="99"/>
    </row>
    <row r="480">
      <c r="F480" s="99"/>
      <c r="G480" s="99"/>
      <c r="H480" s="99"/>
    </row>
    <row r="481">
      <c r="F481" s="99"/>
      <c r="G481" s="99"/>
      <c r="H481" s="99"/>
    </row>
    <row r="482">
      <c r="F482" s="99"/>
      <c r="G482" s="99"/>
      <c r="H482" s="99"/>
    </row>
    <row r="483">
      <c r="F483" s="99"/>
      <c r="G483" s="99"/>
      <c r="H483" s="99"/>
    </row>
    <row r="484">
      <c r="F484" s="99"/>
      <c r="G484" s="99"/>
      <c r="H484" s="99"/>
    </row>
    <row r="485">
      <c r="F485" s="99"/>
      <c r="G485" s="99"/>
      <c r="H485" s="99"/>
    </row>
    <row r="486">
      <c r="F486" s="99"/>
      <c r="G486" s="99"/>
      <c r="H486" s="99"/>
    </row>
    <row r="487">
      <c r="F487" s="99"/>
      <c r="G487" s="99"/>
      <c r="H487" s="99"/>
    </row>
    <row r="488">
      <c r="F488" s="99"/>
      <c r="G488" s="99"/>
      <c r="H488" s="99"/>
    </row>
    <row r="489">
      <c r="F489" s="99"/>
      <c r="G489" s="99"/>
      <c r="H489" s="99"/>
    </row>
    <row r="490">
      <c r="F490" s="99"/>
      <c r="G490" s="99"/>
      <c r="H490" s="99"/>
    </row>
    <row r="491">
      <c r="F491" s="99"/>
      <c r="G491" s="99"/>
      <c r="H491" s="99"/>
    </row>
    <row r="492">
      <c r="F492" s="99"/>
      <c r="G492" s="99"/>
      <c r="H492" s="99"/>
    </row>
    <row r="493">
      <c r="F493" s="99"/>
      <c r="G493" s="99"/>
      <c r="H493" s="99"/>
    </row>
    <row r="494">
      <c r="F494" s="99"/>
      <c r="G494" s="99"/>
      <c r="H494" s="99"/>
    </row>
    <row r="495">
      <c r="F495" s="99"/>
      <c r="G495" s="99"/>
      <c r="H495" s="99"/>
    </row>
    <row r="496">
      <c r="F496" s="99"/>
      <c r="G496" s="99"/>
      <c r="H496" s="99"/>
    </row>
    <row r="497">
      <c r="F497" s="99"/>
      <c r="G497" s="99"/>
      <c r="H497" s="99"/>
    </row>
    <row r="498">
      <c r="F498" s="99"/>
      <c r="G498" s="99"/>
      <c r="H498" s="99"/>
    </row>
    <row r="499">
      <c r="F499" s="99"/>
      <c r="G499" s="99"/>
      <c r="H499" s="99"/>
    </row>
    <row r="500">
      <c r="F500" s="99"/>
      <c r="G500" s="99"/>
      <c r="H500" s="99"/>
    </row>
    <row r="501">
      <c r="F501" s="99"/>
      <c r="G501" s="99"/>
      <c r="H501" s="99"/>
    </row>
    <row r="502">
      <c r="F502" s="99"/>
      <c r="G502" s="99"/>
      <c r="H502" s="99"/>
    </row>
    <row r="503">
      <c r="F503" s="99"/>
      <c r="G503" s="99"/>
      <c r="H503" s="99"/>
    </row>
    <row r="504">
      <c r="F504" s="99"/>
      <c r="G504" s="99"/>
      <c r="H504" s="99"/>
    </row>
    <row r="505">
      <c r="F505" s="99"/>
      <c r="G505" s="99"/>
      <c r="H505" s="99"/>
    </row>
    <row r="506">
      <c r="F506" s="99"/>
      <c r="G506" s="99"/>
      <c r="H506" s="99"/>
    </row>
    <row r="507">
      <c r="F507" s="99"/>
      <c r="G507" s="99"/>
      <c r="H507" s="99"/>
    </row>
    <row r="508">
      <c r="F508" s="99"/>
      <c r="G508" s="99"/>
      <c r="H508" s="99"/>
    </row>
    <row r="509">
      <c r="F509" s="99"/>
      <c r="G509" s="99"/>
      <c r="H509" s="99"/>
    </row>
    <row r="510">
      <c r="F510" s="99"/>
      <c r="G510" s="99"/>
      <c r="H510" s="99"/>
    </row>
    <row r="511">
      <c r="F511" s="99"/>
      <c r="G511" s="99"/>
      <c r="H511" s="99"/>
    </row>
    <row r="512">
      <c r="F512" s="99"/>
      <c r="G512" s="99"/>
      <c r="H512" s="99"/>
    </row>
    <row r="513">
      <c r="F513" s="99"/>
      <c r="G513" s="99"/>
      <c r="H513" s="99"/>
    </row>
    <row r="514">
      <c r="F514" s="99"/>
      <c r="G514" s="99"/>
      <c r="H514" s="99"/>
    </row>
    <row r="515">
      <c r="F515" s="99"/>
      <c r="G515" s="99"/>
      <c r="H515" s="99"/>
    </row>
    <row r="516">
      <c r="F516" s="99"/>
      <c r="G516" s="99"/>
      <c r="H516" s="99"/>
    </row>
    <row r="517">
      <c r="F517" s="99"/>
      <c r="G517" s="99"/>
      <c r="H517" s="99"/>
    </row>
    <row r="518">
      <c r="F518" s="99"/>
      <c r="G518" s="99"/>
      <c r="H518" s="99"/>
    </row>
    <row r="519">
      <c r="F519" s="99"/>
      <c r="G519" s="99"/>
      <c r="H519" s="99"/>
    </row>
    <row r="520">
      <c r="F520" s="99"/>
      <c r="G520" s="99"/>
      <c r="H520" s="99"/>
    </row>
    <row r="521">
      <c r="F521" s="99"/>
      <c r="G521" s="99"/>
      <c r="H521" s="99"/>
    </row>
    <row r="522">
      <c r="F522" s="99"/>
      <c r="G522" s="99"/>
      <c r="H522" s="99"/>
    </row>
    <row r="523">
      <c r="F523" s="99"/>
      <c r="G523" s="99"/>
      <c r="H523" s="99"/>
    </row>
    <row r="524">
      <c r="F524" s="99"/>
      <c r="G524" s="99"/>
      <c r="H524" s="99"/>
    </row>
    <row r="525">
      <c r="F525" s="99"/>
      <c r="G525" s="99"/>
      <c r="H525" s="99"/>
    </row>
    <row r="526">
      <c r="F526" s="99"/>
      <c r="G526" s="99"/>
      <c r="H526" s="99"/>
    </row>
    <row r="527">
      <c r="F527" s="99"/>
      <c r="G527" s="99"/>
      <c r="H527" s="99"/>
    </row>
    <row r="528">
      <c r="F528" s="99"/>
      <c r="G528" s="99"/>
      <c r="H528" s="99"/>
    </row>
    <row r="529">
      <c r="F529" s="99"/>
      <c r="G529" s="99"/>
      <c r="H529" s="99"/>
    </row>
    <row r="530">
      <c r="F530" s="99"/>
      <c r="G530" s="99"/>
      <c r="H530" s="99"/>
    </row>
    <row r="531">
      <c r="F531" s="99"/>
      <c r="G531" s="99"/>
      <c r="H531" s="99"/>
    </row>
    <row r="532">
      <c r="F532" s="99"/>
      <c r="G532" s="99"/>
      <c r="H532" s="99"/>
    </row>
    <row r="533">
      <c r="F533" s="99"/>
      <c r="G533" s="99"/>
      <c r="H533" s="99"/>
    </row>
    <row r="534">
      <c r="F534" s="99"/>
      <c r="G534" s="99"/>
      <c r="H534" s="99"/>
    </row>
    <row r="535">
      <c r="F535" s="99"/>
      <c r="G535" s="99"/>
      <c r="H535" s="99"/>
    </row>
    <row r="536">
      <c r="F536" s="99"/>
      <c r="G536" s="99"/>
      <c r="H536" s="99"/>
    </row>
    <row r="537">
      <c r="F537" s="99"/>
      <c r="G537" s="99"/>
      <c r="H537" s="99"/>
    </row>
    <row r="538">
      <c r="F538" s="99"/>
      <c r="G538" s="99"/>
      <c r="H538" s="99"/>
    </row>
    <row r="539">
      <c r="F539" s="99"/>
      <c r="G539" s="99"/>
      <c r="H539" s="99"/>
    </row>
    <row r="540">
      <c r="F540" s="99"/>
      <c r="G540" s="99"/>
      <c r="H540" s="99"/>
    </row>
    <row r="541">
      <c r="F541" s="99"/>
      <c r="G541" s="99"/>
      <c r="H541" s="99"/>
    </row>
    <row r="542">
      <c r="F542" s="99"/>
      <c r="G542" s="99"/>
      <c r="H542" s="99"/>
    </row>
    <row r="543">
      <c r="F543" s="99"/>
      <c r="G543" s="99"/>
      <c r="H543" s="99"/>
    </row>
    <row r="544">
      <c r="F544" s="99"/>
      <c r="G544" s="99"/>
      <c r="H544" s="99"/>
    </row>
    <row r="545">
      <c r="F545" s="99"/>
      <c r="G545" s="99"/>
      <c r="H545" s="99"/>
    </row>
    <row r="546">
      <c r="F546" s="99"/>
      <c r="G546" s="99"/>
      <c r="H546" s="99"/>
    </row>
    <row r="547">
      <c r="F547" s="99"/>
      <c r="G547" s="99"/>
      <c r="H547" s="99"/>
    </row>
    <row r="548">
      <c r="F548" s="99"/>
      <c r="G548" s="99"/>
      <c r="H548" s="99"/>
    </row>
    <row r="549">
      <c r="F549" s="99"/>
      <c r="G549" s="99"/>
      <c r="H549" s="99"/>
    </row>
    <row r="550">
      <c r="F550" s="99"/>
      <c r="G550" s="99"/>
      <c r="H550" s="99"/>
    </row>
    <row r="551">
      <c r="F551" s="99"/>
      <c r="G551" s="99"/>
      <c r="H551" s="99"/>
    </row>
    <row r="552">
      <c r="F552" s="99"/>
      <c r="G552" s="99"/>
      <c r="H552" s="99"/>
    </row>
    <row r="553">
      <c r="F553" s="99"/>
      <c r="G553" s="99"/>
      <c r="H553" s="99"/>
    </row>
    <row r="554">
      <c r="F554" s="99"/>
      <c r="G554" s="99"/>
      <c r="H554" s="99"/>
    </row>
    <row r="555">
      <c r="F555" s="99"/>
      <c r="G555" s="99"/>
      <c r="H555" s="99"/>
    </row>
    <row r="556">
      <c r="F556" s="99"/>
      <c r="G556" s="99"/>
      <c r="H556" s="99"/>
    </row>
    <row r="557">
      <c r="F557" s="99"/>
      <c r="G557" s="99"/>
      <c r="H557" s="99"/>
    </row>
    <row r="558">
      <c r="F558" s="99"/>
      <c r="G558" s="99"/>
      <c r="H558" s="99"/>
    </row>
    <row r="559">
      <c r="F559" s="99"/>
      <c r="G559" s="99"/>
      <c r="H559" s="99"/>
    </row>
    <row r="560">
      <c r="F560" s="99"/>
      <c r="G560" s="99"/>
      <c r="H560" s="99"/>
    </row>
    <row r="561">
      <c r="F561" s="99"/>
      <c r="G561" s="99"/>
      <c r="H561" s="99"/>
    </row>
    <row r="562">
      <c r="F562" s="99"/>
      <c r="G562" s="99"/>
      <c r="H562" s="99"/>
    </row>
    <row r="563">
      <c r="F563" s="99"/>
      <c r="G563" s="99"/>
      <c r="H563" s="99"/>
    </row>
    <row r="564">
      <c r="F564" s="99"/>
      <c r="G564" s="99"/>
      <c r="H564" s="99"/>
    </row>
    <row r="565">
      <c r="F565" s="99"/>
      <c r="G565" s="99"/>
      <c r="H565" s="99"/>
    </row>
    <row r="566">
      <c r="F566" s="99"/>
      <c r="G566" s="99"/>
      <c r="H566" s="99"/>
    </row>
    <row r="567">
      <c r="F567" s="99"/>
      <c r="G567" s="99"/>
      <c r="H567" s="99"/>
    </row>
    <row r="568">
      <c r="F568" s="99"/>
      <c r="G568" s="99"/>
      <c r="H568" s="99"/>
    </row>
    <row r="569">
      <c r="F569" s="99"/>
      <c r="G569" s="99"/>
      <c r="H569" s="99"/>
    </row>
    <row r="570">
      <c r="F570" s="99"/>
      <c r="G570" s="99"/>
      <c r="H570" s="99"/>
    </row>
    <row r="571">
      <c r="F571" s="99"/>
      <c r="G571" s="99"/>
      <c r="H571" s="99"/>
    </row>
    <row r="572">
      <c r="F572" s="99"/>
      <c r="G572" s="99"/>
      <c r="H572" s="99"/>
    </row>
    <row r="573">
      <c r="F573" s="99"/>
      <c r="G573" s="99"/>
      <c r="H573" s="99"/>
    </row>
    <row r="574">
      <c r="F574" s="99"/>
      <c r="G574" s="99"/>
      <c r="H574" s="99"/>
    </row>
    <row r="575">
      <c r="F575" s="99"/>
      <c r="G575" s="99"/>
      <c r="H575" s="99"/>
    </row>
    <row r="576">
      <c r="F576" s="99"/>
      <c r="G576" s="99"/>
      <c r="H576" s="99"/>
    </row>
    <row r="577">
      <c r="F577" s="99"/>
      <c r="G577" s="99"/>
      <c r="H577" s="99"/>
    </row>
    <row r="578">
      <c r="F578" s="99"/>
      <c r="G578" s="99"/>
      <c r="H578" s="99"/>
    </row>
    <row r="579">
      <c r="F579" s="99"/>
      <c r="G579" s="99"/>
      <c r="H579" s="99"/>
    </row>
    <row r="580">
      <c r="F580" s="99"/>
      <c r="G580" s="99"/>
      <c r="H580" s="99"/>
    </row>
    <row r="581">
      <c r="F581" s="99"/>
      <c r="G581" s="99"/>
      <c r="H581" s="99"/>
    </row>
    <row r="582">
      <c r="F582" s="99"/>
      <c r="G582" s="99"/>
      <c r="H582" s="99"/>
    </row>
    <row r="583">
      <c r="F583" s="99"/>
      <c r="G583" s="99"/>
      <c r="H583" s="99"/>
    </row>
    <row r="584">
      <c r="F584" s="99"/>
      <c r="G584" s="99"/>
      <c r="H584" s="99"/>
    </row>
    <row r="585">
      <c r="F585" s="99"/>
      <c r="G585" s="99"/>
      <c r="H585" s="99"/>
    </row>
    <row r="586">
      <c r="F586" s="99"/>
      <c r="G586" s="99"/>
      <c r="H586" s="99"/>
    </row>
    <row r="587">
      <c r="F587" s="99"/>
      <c r="G587" s="99"/>
      <c r="H587" s="99"/>
    </row>
    <row r="588">
      <c r="F588" s="99"/>
      <c r="G588" s="99"/>
      <c r="H588" s="99"/>
    </row>
    <row r="589">
      <c r="F589" s="99"/>
      <c r="G589" s="99"/>
      <c r="H589" s="99"/>
    </row>
    <row r="590">
      <c r="F590" s="99"/>
      <c r="G590" s="99"/>
      <c r="H590" s="99"/>
    </row>
    <row r="591">
      <c r="F591" s="99"/>
      <c r="G591" s="99"/>
      <c r="H591" s="99"/>
    </row>
    <row r="592">
      <c r="F592" s="99"/>
      <c r="G592" s="99"/>
      <c r="H592" s="99"/>
    </row>
    <row r="593">
      <c r="F593" s="99"/>
      <c r="G593" s="99"/>
      <c r="H593" s="99"/>
    </row>
    <row r="594">
      <c r="F594" s="99"/>
      <c r="G594" s="99"/>
      <c r="H594" s="99"/>
    </row>
    <row r="595">
      <c r="F595" s="99"/>
      <c r="G595" s="99"/>
      <c r="H595" s="99"/>
    </row>
    <row r="596">
      <c r="F596" s="99"/>
      <c r="G596" s="99"/>
      <c r="H596" s="99"/>
    </row>
    <row r="597">
      <c r="F597" s="99"/>
      <c r="G597" s="99"/>
      <c r="H597" s="99"/>
    </row>
    <row r="598">
      <c r="F598" s="99"/>
      <c r="G598" s="99"/>
      <c r="H598" s="99"/>
    </row>
    <row r="599">
      <c r="F599" s="99"/>
      <c r="G599" s="99"/>
      <c r="H599" s="99"/>
    </row>
    <row r="600">
      <c r="F600" s="99"/>
      <c r="G600" s="99"/>
      <c r="H600" s="99"/>
    </row>
    <row r="601">
      <c r="F601" s="99"/>
      <c r="G601" s="99"/>
      <c r="H601" s="99"/>
    </row>
    <row r="602">
      <c r="F602" s="99"/>
      <c r="G602" s="99"/>
      <c r="H602" s="99"/>
    </row>
    <row r="603">
      <c r="F603" s="99"/>
      <c r="G603" s="99"/>
      <c r="H603" s="99"/>
    </row>
    <row r="604">
      <c r="F604" s="99"/>
      <c r="G604" s="99"/>
      <c r="H604" s="99"/>
    </row>
    <row r="605">
      <c r="F605" s="99"/>
      <c r="G605" s="99"/>
      <c r="H605" s="99"/>
    </row>
    <row r="606">
      <c r="F606" s="99"/>
      <c r="G606" s="99"/>
      <c r="H606" s="99"/>
    </row>
    <row r="607">
      <c r="F607" s="99"/>
      <c r="G607" s="99"/>
      <c r="H607" s="99"/>
    </row>
    <row r="608">
      <c r="F608" s="99"/>
      <c r="G608" s="99"/>
      <c r="H608" s="99"/>
    </row>
    <row r="609">
      <c r="F609" s="99"/>
      <c r="G609" s="99"/>
      <c r="H609" s="99"/>
    </row>
    <row r="610">
      <c r="F610" s="99"/>
      <c r="G610" s="99"/>
      <c r="H610" s="99"/>
    </row>
    <row r="611">
      <c r="F611" s="99"/>
      <c r="G611" s="99"/>
      <c r="H611" s="99"/>
    </row>
    <row r="612">
      <c r="F612" s="99"/>
      <c r="G612" s="99"/>
      <c r="H612" s="99"/>
    </row>
    <row r="613">
      <c r="F613" s="99"/>
      <c r="G613" s="99"/>
      <c r="H613" s="99"/>
    </row>
    <row r="614">
      <c r="F614" s="99"/>
      <c r="G614" s="99"/>
      <c r="H614" s="99"/>
    </row>
    <row r="615">
      <c r="F615" s="99"/>
      <c r="G615" s="99"/>
      <c r="H615" s="99"/>
    </row>
    <row r="616">
      <c r="F616" s="99"/>
      <c r="G616" s="99"/>
      <c r="H616" s="99"/>
    </row>
    <row r="617">
      <c r="F617" s="99"/>
      <c r="G617" s="99"/>
      <c r="H617" s="99"/>
    </row>
    <row r="618">
      <c r="F618" s="99"/>
      <c r="G618" s="99"/>
      <c r="H618" s="99"/>
    </row>
    <row r="619">
      <c r="F619" s="99"/>
      <c r="G619" s="99"/>
      <c r="H619" s="99"/>
    </row>
    <row r="620">
      <c r="F620" s="99"/>
      <c r="G620" s="99"/>
      <c r="H620" s="99"/>
    </row>
    <row r="621">
      <c r="F621" s="99"/>
      <c r="G621" s="99"/>
      <c r="H621" s="99"/>
    </row>
    <row r="622">
      <c r="F622" s="99"/>
      <c r="G622" s="99"/>
      <c r="H622" s="99"/>
    </row>
    <row r="623">
      <c r="F623" s="99"/>
      <c r="G623" s="99"/>
      <c r="H623" s="99"/>
    </row>
    <row r="624">
      <c r="F624" s="99"/>
      <c r="G624" s="99"/>
      <c r="H624" s="99"/>
    </row>
    <row r="625">
      <c r="F625" s="99"/>
      <c r="G625" s="99"/>
      <c r="H625" s="99"/>
    </row>
    <row r="626">
      <c r="F626" s="99"/>
      <c r="G626" s="99"/>
      <c r="H626" s="99"/>
    </row>
    <row r="627">
      <c r="F627" s="99"/>
      <c r="G627" s="99"/>
      <c r="H627" s="99"/>
    </row>
    <row r="628">
      <c r="F628" s="99"/>
      <c r="G628" s="99"/>
      <c r="H628" s="99"/>
    </row>
    <row r="629">
      <c r="F629" s="99"/>
      <c r="G629" s="99"/>
      <c r="H629" s="99"/>
    </row>
    <row r="630">
      <c r="F630" s="99"/>
      <c r="G630" s="99"/>
      <c r="H630" s="99"/>
    </row>
    <row r="631">
      <c r="F631" s="99"/>
      <c r="G631" s="99"/>
      <c r="H631" s="99"/>
    </row>
    <row r="632">
      <c r="F632" s="99"/>
      <c r="G632" s="99"/>
      <c r="H632" s="99"/>
    </row>
    <row r="633">
      <c r="F633" s="99"/>
      <c r="G633" s="99"/>
      <c r="H633" s="99"/>
    </row>
    <row r="634">
      <c r="F634" s="99"/>
      <c r="G634" s="99"/>
      <c r="H634" s="99"/>
    </row>
    <row r="635">
      <c r="F635" s="99"/>
      <c r="G635" s="99"/>
      <c r="H635" s="99"/>
    </row>
    <row r="636">
      <c r="F636" s="99"/>
      <c r="G636" s="99"/>
      <c r="H636" s="99"/>
    </row>
    <row r="637">
      <c r="F637" s="99"/>
      <c r="G637" s="99"/>
      <c r="H637" s="99"/>
    </row>
    <row r="638">
      <c r="F638" s="99"/>
      <c r="G638" s="99"/>
      <c r="H638" s="99"/>
    </row>
    <row r="639">
      <c r="F639" s="99"/>
      <c r="G639" s="99"/>
      <c r="H639" s="99"/>
    </row>
    <row r="640">
      <c r="F640" s="99"/>
      <c r="G640" s="99"/>
      <c r="H640" s="99"/>
    </row>
    <row r="641">
      <c r="F641" s="99"/>
      <c r="G641" s="99"/>
      <c r="H641" s="99"/>
    </row>
    <row r="642">
      <c r="F642" s="99"/>
      <c r="G642" s="99"/>
      <c r="H642" s="99"/>
    </row>
    <row r="643">
      <c r="F643" s="99"/>
      <c r="G643" s="99"/>
      <c r="H643" s="99"/>
    </row>
    <row r="644">
      <c r="F644" s="99"/>
      <c r="G644" s="99"/>
      <c r="H644" s="99"/>
    </row>
    <row r="645">
      <c r="F645" s="99"/>
      <c r="G645" s="99"/>
      <c r="H645" s="99"/>
    </row>
    <row r="646">
      <c r="F646" s="99"/>
      <c r="G646" s="99"/>
      <c r="H646" s="99"/>
    </row>
    <row r="647">
      <c r="F647" s="99"/>
      <c r="G647" s="99"/>
      <c r="H647" s="99"/>
    </row>
    <row r="648">
      <c r="F648" s="99"/>
      <c r="G648" s="99"/>
      <c r="H648" s="99"/>
    </row>
    <row r="649">
      <c r="F649" s="99"/>
      <c r="G649" s="99"/>
      <c r="H649" s="99"/>
    </row>
    <row r="650">
      <c r="F650" s="99"/>
      <c r="G650" s="99"/>
      <c r="H650" s="99"/>
    </row>
    <row r="651">
      <c r="F651" s="99"/>
      <c r="G651" s="99"/>
      <c r="H651" s="99"/>
    </row>
    <row r="652">
      <c r="F652" s="99"/>
      <c r="G652" s="99"/>
      <c r="H652" s="99"/>
    </row>
    <row r="653">
      <c r="F653" s="99"/>
      <c r="G653" s="99"/>
      <c r="H653" s="99"/>
    </row>
    <row r="654">
      <c r="F654" s="99"/>
      <c r="G654" s="99"/>
      <c r="H654" s="99"/>
    </row>
    <row r="655">
      <c r="F655" s="99"/>
      <c r="G655" s="99"/>
      <c r="H655" s="99"/>
    </row>
    <row r="656">
      <c r="F656" s="99"/>
      <c r="G656" s="99"/>
      <c r="H656" s="99"/>
    </row>
    <row r="657">
      <c r="F657" s="99"/>
      <c r="G657" s="99"/>
      <c r="H657" s="99"/>
    </row>
    <row r="658">
      <c r="F658" s="99"/>
      <c r="G658" s="99"/>
      <c r="H658" s="99"/>
    </row>
    <row r="659">
      <c r="F659" s="99"/>
      <c r="G659" s="99"/>
      <c r="H659" s="99"/>
    </row>
    <row r="660">
      <c r="F660" s="99"/>
      <c r="G660" s="99"/>
      <c r="H660" s="99"/>
    </row>
    <row r="661">
      <c r="F661" s="99"/>
      <c r="G661" s="99"/>
      <c r="H661" s="99"/>
    </row>
    <row r="662">
      <c r="F662" s="99"/>
      <c r="G662" s="99"/>
      <c r="H662" s="99"/>
    </row>
    <row r="663">
      <c r="F663" s="99"/>
      <c r="G663" s="99"/>
      <c r="H663" s="99"/>
    </row>
    <row r="664">
      <c r="F664" s="99"/>
      <c r="G664" s="99"/>
      <c r="H664" s="99"/>
    </row>
    <row r="665">
      <c r="F665" s="99"/>
      <c r="G665" s="99"/>
      <c r="H665" s="99"/>
    </row>
    <row r="666">
      <c r="F666" s="99"/>
      <c r="G666" s="99"/>
      <c r="H666" s="99"/>
    </row>
    <row r="667">
      <c r="F667" s="99"/>
      <c r="G667" s="99"/>
      <c r="H667" s="99"/>
    </row>
    <row r="668">
      <c r="F668" s="99"/>
      <c r="G668" s="99"/>
      <c r="H668" s="99"/>
    </row>
    <row r="669">
      <c r="F669" s="99"/>
      <c r="G669" s="99"/>
      <c r="H669" s="99"/>
    </row>
    <row r="670">
      <c r="F670" s="99"/>
      <c r="G670" s="99"/>
      <c r="H670" s="99"/>
    </row>
    <row r="671">
      <c r="F671" s="99"/>
      <c r="G671" s="99"/>
      <c r="H671" s="99"/>
    </row>
    <row r="672">
      <c r="F672" s="99"/>
      <c r="G672" s="99"/>
      <c r="H672" s="99"/>
    </row>
    <row r="673">
      <c r="F673" s="99"/>
      <c r="G673" s="99"/>
      <c r="H673" s="99"/>
    </row>
    <row r="674">
      <c r="F674" s="99"/>
      <c r="G674" s="99"/>
      <c r="H674" s="99"/>
    </row>
    <row r="675">
      <c r="F675" s="99"/>
      <c r="G675" s="99"/>
      <c r="H675" s="99"/>
    </row>
    <row r="676">
      <c r="F676" s="99"/>
      <c r="G676" s="99"/>
      <c r="H676" s="99"/>
    </row>
    <row r="677">
      <c r="F677" s="99"/>
      <c r="G677" s="99"/>
      <c r="H677" s="99"/>
    </row>
    <row r="678">
      <c r="F678" s="99"/>
      <c r="G678" s="99"/>
      <c r="H678" s="99"/>
    </row>
    <row r="679">
      <c r="F679" s="99"/>
      <c r="G679" s="99"/>
      <c r="H679" s="99"/>
    </row>
    <row r="680">
      <c r="F680" s="99"/>
      <c r="G680" s="99"/>
      <c r="H680" s="99"/>
    </row>
    <row r="681">
      <c r="F681" s="99"/>
      <c r="G681" s="99"/>
      <c r="H681" s="99"/>
    </row>
    <row r="682">
      <c r="F682" s="99"/>
      <c r="G682" s="99"/>
      <c r="H682" s="99"/>
    </row>
    <row r="683">
      <c r="F683" s="99"/>
      <c r="G683" s="99"/>
      <c r="H683" s="99"/>
    </row>
    <row r="684">
      <c r="F684" s="99"/>
      <c r="G684" s="99"/>
      <c r="H684" s="99"/>
    </row>
    <row r="685">
      <c r="F685" s="99"/>
      <c r="G685" s="99"/>
      <c r="H685" s="99"/>
    </row>
    <row r="686">
      <c r="F686" s="99"/>
      <c r="G686" s="99"/>
      <c r="H686" s="99"/>
    </row>
    <row r="687">
      <c r="F687" s="99"/>
      <c r="G687" s="99"/>
      <c r="H687" s="99"/>
    </row>
    <row r="688">
      <c r="F688" s="99"/>
      <c r="G688" s="99"/>
      <c r="H688" s="99"/>
    </row>
    <row r="689">
      <c r="F689" s="99"/>
      <c r="G689" s="99"/>
      <c r="H689" s="99"/>
    </row>
    <row r="690">
      <c r="F690" s="99"/>
      <c r="G690" s="99"/>
      <c r="H690" s="99"/>
    </row>
    <row r="691">
      <c r="F691" s="99"/>
      <c r="G691" s="99"/>
      <c r="H691" s="99"/>
    </row>
    <row r="692">
      <c r="F692" s="99"/>
      <c r="G692" s="99"/>
      <c r="H692" s="99"/>
    </row>
    <row r="693">
      <c r="F693" s="99"/>
      <c r="G693" s="99"/>
      <c r="H693" s="99"/>
    </row>
    <row r="694">
      <c r="F694" s="99"/>
      <c r="G694" s="99"/>
      <c r="H694" s="99"/>
    </row>
    <row r="695">
      <c r="F695" s="99"/>
      <c r="G695" s="99"/>
      <c r="H695" s="99"/>
    </row>
    <row r="696">
      <c r="F696" s="99"/>
      <c r="G696" s="99"/>
      <c r="H696" s="99"/>
    </row>
    <row r="697">
      <c r="F697" s="99"/>
      <c r="G697" s="99"/>
      <c r="H697" s="99"/>
    </row>
    <row r="698">
      <c r="F698" s="99"/>
      <c r="G698" s="99"/>
      <c r="H698" s="99"/>
    </row>
    <row r="699">
      <c r="F699" s="99"/>
      <c r="G699" s="99"/>
      <c r="H699" s="99"/>
    </row>
    <row r="700">
      <c r="F700" s="99"/>
      <c r="G700" s="99"/>
      <c r="H700" s="99"/>
    </row>
    <row r="701">
      <c r="F701" s="99"/>
      <c r="G701" s="99"/>
      <c r="H701" s="99"/>
    </row>
    <row r="702">
      <c r="F702" s="99"/>
      <c r="G702" s="99"/>
      <c r="H702" s="99"/>
    </row>
    <row r="703">
      <c r="F703" s="99"/>
      <c r="G703" s="99"/>
      <c r="H703" s="99"/>
    </row>
    <row r="704">
      <c r="F704" s="99"/>
      <c r="G704" s="99"/>
      <c r="H704" s="99"/>
    </row>
    <row r="705">
      <c r="F705" s="99"/>
      <c r="G705" s="99"/>
      <c r="H705" s="99"/>
    </row>
    <row r="706">
      <c r="F706" s="99"/>
      <c r="G706" s="99"/>
      <c r="H706" s="99"/>
    </row>
    <row r="707">
      <c r="F707" s="99"/>
      <c r="G707" s="99"/>
      <c r="H707" s="99"/>
    </row>
    <row r="708">
      <c r="F708" s="99"/>
      <c r="G708" s="99"/>
      <c r="H708" s="99"/>
    </row>
    <row r="709">
      <c r="F709" s="99"/>
      <c r="G709" s="99"/>
      <c r="H709" s="99"/>
    </row>
    <row r="710">
      <c r="F710" s="99"/>
      <c r="G710" s="99"/>
      <c r="H710" s="99"/>
    </row>
    <row r="711">
      <c r="F711" s="99"/>
      <c r="G711" s="99"/>
      <c r="H711" s="99"/>
    </row>
    <row r="712">
      <c r="F712" s="99"/>
      <c r="G712" s="99"/>
      <c r="H712" s="99"/>
    </row>
    <row r="713">
      <c r="F713" s="99"/>
      <c r="G713" s="99"/>
      <c r="H713" s="99"/>
    </row>
    <row r="714">
      <c r="F714" s="99"/>
      <c r="G714" s="99"/>
      <c r="H714" s="99"/>
    </row>
    <row r="715">
      <c r="F715" s="99"/>
      <c r="G715" s="99"/>
      <c r="H715" s="99"/>
    </row>
    <row r="716">
      <c r="F716" s="99"/>
      <c r="G716" s="99"/>
      <c r="H716" s="99"/>
    </row>
    <row r="717">
      <c r="F717" s="99"/>
      <c r="G717" s="99"/>
      <c r="H717" s="99"/>
    </row>
    <row r="718">
      <c r="F718" s="99"/>
      <c r="G718" s="99"/>
      <c r="H718" s="99"/>
    </row>
    <row r="719">
      <c r="F719" s="99"/>
      <c r="G719" s="99"/>
      <c r="H719" s="99"/>
    </row>
    <row r="720">
      <c r="F720" s="99"/>
      <c r="G720" s="99"/>
      <c r="H720" s="99"/>
    </row>
    <row r="721">
      <c r="F721" s="99"/>
      <c r="G721" s="99"/>
      <c r="H721" s="99"/>
    </row>
    <row r="722">
      <c r="F722" s="99"/>
      <c r="G722" s="99"/>
      <c r="H722" s="99"/>
    </row>
    <row r="723">
      <c r="F723" s="99"/>
      <c r="G723" s="99"/>
      <c r="H723" s="99"/>
    </row>
    <row r="724">
      <c r="F724" s="99"/>
      <c r="G724" s="99"/>
      <c r="H724" s="99"/>
    </row>
    <row r="725">
      <c r="F725" s="99"/>
      <c r="G725" s="99"/>
      <c r="H725" s="99"/>
    </row>
    <row r="726">
      <c r="F726" s="99"/>
      <c r="G726" s="99"/>
      <c r="H726" s="99"/>
    </row>
    <row r="727">
      <c r="F727" s="99"/>
      <c r="G727" s="99"/>
      <c r="H727" s="99"/>
    </row>
    <row r="728">
      <c r="F728" s="99"/>
      <c r="G728" s="99"/>
      <c r="H728" s="99"/>
    </row>
    <row r="729">
      <c r="F729" s="99"/>
      <c r="G729" s="99"/>
      <c r="H729" s="99"/>
    </row>
    <row r="730">
      <c r="F730" s="99"/>
      <c r="G730" s="99"/>
      <c r="H730" s="99"/>
    </row>
    <row r="731">
      <c r="F731" s="99"/>
      <c r="G731" s="99"/>
      <c r="H731" s="99"/>
    </row>
    <row r="732">
      <c r="F732" s="99"/>
      <c r="G732" s="99"/>
      <c r="H732" s="99"/>
    </row>
    <row r="733">
      <c r="F733" s="99"/>
      <c r="G733" s="99"/>
      <c r="H733" s="99"/>
    </row>
    <row r="734">
      <c r="F734" s="99"/>
      <c r="G734" s="99"/>
      <c r="H734" s="99"/>
    </row>
    <row r="735">
      <c r="F735" s="99"/>
      <c r="G735" s="99"/>
      <c r="H735" s="99"/>
    </row>
    <row r="736">
      <c r="F736" s="99"/>
      <c r="G736" s="99"/>
      <c r="H736" s="99"/>
    </row>
    <row r="737">
      <c r="F737" s="99"/>
      <c r="G737" s="99"/>
      <c r="H737" s="99"/>
    </row>
    <row r="738">
      <c r="F738" s="99"/>
      <c r="G738" s="99"/>
      <c r="H738" s="99"/>
    </row>
    <row r="739">
      <c r="F739" s="99"/>
      <c r="G739" s="99"/>
      <c r="H739" s="99"/>
    </row>
    <row r="740">
      <c r="F740" s="99"/>
      <c r="G740" s="99"/>
      <c r="H740" s="99"/>
    </row>
    <row r="741">
      <c r="F741" s="99"/>
      <c r="G741" s="99"/>
      <c r="H741" s="99"/>
    </row>
    <row r="742">
      <c r="F742" s="99"/>
      <c r="G742" s="99"/>
      <c r="H742" s="99"/>
    </row>
    <row r="743">
      <c r="F743" s="99"/>
      <c r="G743" s="99"/>
      <c r="H743" s="99"/>
    </row>
    <row r="744">
      <c r="F744" s="99"/>
      <c r="G744" s="99"/>
      <c r="H744" s="99"/>
    </row>
    <row r="745">
      <c r="F745" s="99"/>
      <c r="G745" s="99"/>
      <c r="H745" s="99"/>
    </row>
    <row r="746">
      <c r="F746" s="99"/>
      <c r="G746" s="99"/>
      <c r="H746" s="99"/>
    </row>
    <row r="747">
      <c r="F747" s="99"/>
      <c r="G747" s="99"/>
      <c r="H747" s="99"/>
    </row>
    <row r="748">
      <c r="F748" s="99"/>
      <c r="G748" s="99"/>
      <c r="H748" s="99"/>
    </row>
    <row r="749">
      <c r="F749" s="99"/>
      <c r="G749" s="99"/>
      <c r="H749" s="99"/>
    </row>
    <row r="750">
      <c r="F750" s="99"/>
      <c r="G750" s="99"/>
      <c r="H750" s="99"/>
    </row>
    <row r="751">
      <c r="F751" s="99"/>
      <c r="G751" s="99"/>
      <c r="H751" s="99"/>
    </row>
    <row r="752">
      <c r="F752" s="99"/>
      <c r="G752" s="99"/>
      <c r="H752" s="99"/>
    </row>
    <row r="753">
      <c r="F753" s="99"/>
      <c r="G753" s="99"/>
      <c r="H753" s="99"/>
    </row>
    <row r="754">
      <c r="F754" s="99"/>
      <c r="G754" s="99"/>
      <c r="H754" s="99"/>
    </row>
    <row r="755">
      <c r="F755" s="99"/>
      <c r="G755" s="99"/>
      <c r="H755" s="99"/>
    </row>
    <row r="756">
      <c r="F756" s="99"/>
      <c r="G756" s="99"/>
      <c r="H756" s="99"/>
    </row>
    <row r="757">
      <c r="F757" s="99"/>
      <c r="G757" s="99"/>
      <c r="H757" s="99"/>
    </row>
    <row r="758">
      <c r="F758" s="99"/>
      <c r="G758" s="99"/>
      <c r="H758" s="99"/>
    </row>
    <row r="759">
      <c r="F759" s="99"/>
      <c r="G759" s="99"/>
      <c r="H759" s="99"/>
    </row>
    <row r="760">
      <c r="F760" s="99"/>
      <c r="G760" s="99"/>
      <c r="H760" s="99"/>
    </row>
    <row r="761">
      <c r="F761" s="99"/>
      <c r="G761" s="99"/>
      <c r="H761" s="99"/>
    </row>
    <row r="762">
      <c r="F762" s="99"/>
      <c r="G762" s="99"/>
      <c r="H762" s="99"/>
    </row>
    <row r="763">
      <c r="F763" s="99"/>
      <c r="G763" s="99"/>
      <c r="H763" s="99"/>
    </row>
    <row r="764">
      <c r="F764" s="99"/>
      <c r="G764" s="99"/>
      <c r="H764" s="99"/>
    </row>
    <row r="765">
      <c r="F765" s="99"/>
      <c r="G765" s="99"/>
      <c r="H765" s="99"/>
    </row>
    <row r="766">
      <c r="F766" s="99"/>
      <c r="G766" s="99"/>
      <c r="H766" s="99"/>
    </row>
    <row r="767">
      <c r="F767" s="99"/>
      <c r="G767" s="99"/>
      <c r="H767" s="99"/>
    </row>
    <row r="768">
      <c r="F768" s="99"/>
      <c r="G768" s="99"/>
      <c r="H768" s="99"/>
    </row>
    <row r="769">
      <c r="F769" s="99"/>
      <c r="G769" s="99"/>
      <c r="H769" s="99"/>
    </row>
    <row r="770">
      <c r="F770" s="99"/>
      <c r="G770" s="99"/>
      <c r="H770" s="99"/>
    </row>
    <row r="771">
      <c r="F771" s="99"/>
      <c r="G771" s="99"/>
      <c r="H771" s="99"/>
    </row>
    <row r="772">
      <c r="F772" s="99"/>
      <c r="G772" s="99"/>
      <c r="H772" s="99"/>
    </row>
    <row r="773">
      <c r="F773" s="99"/>
      <c r="G773" s="99"/>
      <c r="H773" s="99"/>
    </row>
    <row r="774">
      <c r="F774" s="99"/>
      <c r="G774" s="99"/>
      <c r="H774" s="99"/>
    </row>
    <row r="775">
      <c r="F775" s="99"/>
      <c r="G775" s="99"/>
      <c r="H775" s="99"/>
    </row>
    <row r="776">
      <c r="F776" s="99"/>
      <c r="G776" s="99"/>
      <c r="H776" s="99"/>
    </row>
    <row r="777">
      <c r="F777" s="99"/>
      <c r="G777" s="99"/>
      <c r="H777" s="99"/>
    </row>
    <row r="778">
      <c r="F778" s="99"/>
      <c r="G778" s="99"/>
      <c r="H778" s="99"/>
    </row>
    <row r="779">
      <c r="F779" s="99"/>
      <c r="G779" s="99"/>
      <c r="H779" s="99"/>
    </row>
    <row r="780">
      <c r="F780" s="99"/>
      <c r="G780" s="99"/>
      <c r="H780" s="99"/>
    </row>
    <row r="781">
      <c r="F781" s="99"/>
      <c r="G781" s="99"/>
      <c r="H781" s="99"/>
    </row>
    <row r="782">
      <c r="F782" s="99"/>
      <c r="G782" s="99"/>
      <c r="H782" s="99"/>
    </row>
    <row r="783">
      <c r="F783" s="99"/>
      <c r="G783" s="99"/>
      <c r="H783" s="99"/>
    </row>
    <row r="784">
      <c r="F784" s="99"/>
      <c r="G784" s="99"/>
      <c r="H784" s="99"/>
    </row>
    <row r="785">
      <c r="F785" s="99"/>
      <c r="G785" s="99"/>
      <c r="H785" s="99"/>
    </row>
    <row r="786">
      <c r="F786" s="99"/>
      <c r="G786" s="99"/>
      <c r="H786" s="99"/>
    </row>
    <row r="787">
      <c r="F787" s="99"/>
      <c r="G787" s="99"/>
      <c r="H787" s="99"/>
    </row>
    <row r="788">
      <c r="F788" s="99"/>
      <c r="G788" s="99"/>
      <c r="H788" s="99"/>
    </row>
    <row r="789">
      <c r="F789" s="99"/>
      <c r="G789" s="99"/>
      <c r="H789" s="99"/>
    </row>
    <row r="790">
      <c r="F790" s="99"/>
      <c r="G790" s="99"/>
      <c r="H790" s="99"/>
    </row>
    <row r="791">
      <c r="F791" s="99"/>
      <c r="G791" s="99"/>
      <c r="H791" s="99"/>
    </row>
    <row r="792">
      <c r="F792" s="99"/>
      <c r="G792" s="99"/>
      <c r="H792" s="99"/>
    </row>
    <row r="793">
      <c r="F793" s="99"/>
      <c r="G793" s="99"/>
      <c r="H793" s="99"/>
    </row>
    <row r="794">
      <c r="F794" s="99"/>
      <c r="G794" s="99"/>
      <c r="H794" s="99"/>
    </row>
    <row r="795">
      <c r="F795" s="99"/>
      <c r="G795" s="99"/>
      <c r="H795" s="99"/>
    </row>
    <row r="796">
      <c r="F796" s="99"/>
      <c r="G796" s="99"/>
      <c r="H796" s="99"/>
    </row>
    <row r="797">
      <c r="F797" s="99"/>
      <c r="G797" s="99"/>
      <c r="H797" s="99"/>
    </row>
    <row r="798">
      <c r="F798" s="99"/>
      <c r="G798" s="99"/>
      <c r="H798" s="99"/>
    </row>
    <row r="799">
      <c r="F799" s="99"/>
      <c r="G799" s="99"/>
      <c r="H799" s="99"/>
    </row>
    <row r="800">
      <c r="F800" s="99"/>
      <c r="G800" s="99"/>
      <c r="H800" s="99"/>
    </row>
    <row r="801">
      <c r="F801" s="99"/>
      <c r="G801" s="99"/>
      <c r="H801" s="99"/>
    </row>
    <row r="802">
      <c r="F802" s="99"/>
      <c r="G802" s="99"/>
      <c r="H802" s="99"/>
    </row>
    <row r="803">
      <c r="F803" s="99"/>
      <c r="G803" s="99"/>
      <c r="H803" s="99"/>
    </row>
    <row r="804">
      <c r="F804" s="99"/>
      <c r="G804" s="99"/>
      <c r="H804" s="99"/>
    </row>
    <row r="805">
      <c r="F805" s="99"/>
      <c r="G805" s="99"/>
      <c r="H805" s="99"/>
    </row>
    <row r="806">
      <c r="F806" s="99"/>
      <c r="G806" s="99"/>
      <c r="H806" s="99"/>
    </row>
    <row r="807">
      <c r="F807" s="99"/>
      <c r="G807" s="99"/>
      <c r="H807" s="99"/>
    </row>
    <row r="808">
      <c r="F808" s="99"/>
      <c r="G808" s="99"/>
      <c r="H808" s="99"/>
    </row>
    <row r="809">
      <c r="F809" s="99"/>
      <c r="G809" s="99"/>
      <c r="H809" s="99"/>
    </row>
    <row r="810">
      <c r="F810" s="99"/>
      <c r="G810" s="99"/>
      <c r="H810" s="99"/>
    </row>
    <row r="811">
      <c r="F811" s="99"/>
      <c r="G811" s="99"/>
      <c r="H811" s="99"/>
    </row>
    <row r="812">
      <c r="F812" s="99"/>
      <c r="G812" s="99"/>
      <c r="H812" s="99"/>
    </row>
    <row r="813">
      <c r="F813" s="99"/>
      <c r="G813" s="99"/>
      <c r="H813" s="99"/>
    </row>
    <row r="814">
      <c r="F814" s="99"/>
      <c r="G814" s="99"/>
      <c r="H814" s="99"/>
    </row>
    <row r="815">
      <c r="F815" s="99"/>
      <c r="G815" s="99"/>
      <c r="H815" s="99"/>
    </row>
    <row r="816">
      <c r="F816" s="99"/>
      <c r="G816" s="99"/>
      <c r="H816" s="99"/>
    </row>
    <row r="817">
      <c r="F817" s="99"/>
      <c r="G817" s="99"/>
      <c r="H817" s="99"/>
    </row>
    <row r="818">
      <c r="F818" s="99"/>
      <c r="G818" s="99"/>
      <c r="H818" s="99"/>
    </row>
    <row r="819">
      <c r="F819" s="99"/>
      <c r="G819" s="99"/>
      <c r="H819" s="99"/>
    </row>
    <row r="820">
      <c r="F820" s="99"/>
      <c r="G820" s="99"/>
      <c r="H820" s="99"/>
    </row>
    <row r="821">
      <c r="F821" s="99"/>
      <c r="G821" s="99"/>
      <c r="H821" s="99"/>
    </row>
    <row r="822">
      <c r="F822" s="99"/>
      <c r="G822" s="99"/>
      <c r="H822" s="99"/>
    </row>
    <row r="823">
      <c r="F823" s="99"/>
      <c r="G823" s="99"/>
      <c r="H823" s="99"/>
    </row>
    <row r="824">
      <c r="F824" s="99"/>
      <c r="G824" s="99"/>
      <c r="H824" s="99"/>
    </row>
    <row r="825">
      <c r="F825" s="99"/>
      <c r="G825" s="99"/>
      <c r="H825" s="99"/>
    </row>
    <row r="826">
      <c r="F826" s="99"/>
      <c r="G826" s="99"/>
      <c r="H826" s="99"/>
    </row>
    <row r="827">
      <c r="F827" s="99"/>
      <c r="G827" s="99"/>
      <c r="H827" s="99"/>
    </row>
    <row r="828">
      <c r="F828" s="99"/>
      <c r="G828" s="99"/>
      <c r="H828" s="99"/>
    </row>
    <row r="829">
      <c r="F829" s="99"/>
      <c r="G829" s="99"/>
      <c r="H829" s="99"/>
    </row>
    <row r="830">
      <c r="F830" s="99"/>
      <c r="G830" s="99"/>
      <c r="H830" s="99"/>
    </row>
    <row r="831">
      <c r="F831" s="99"/>
      <c r="G831" s="99"/>
      <c r="H831" s="99"/>
    </row>
    <row r="832">
      <c r="F832" s="99"/>
      <c r="G832" s="99"/>
      <c r="H832" s="99"/>
    </row>
    <row r="833">
      <c r="F833" s="99"/>
      <c r="G833" s="99"/>
      <c r="H833" s="99"/>
    </row>
    <row r="834">
      <c r="F834" s="99"/>
      <c r="G834" s="99"/>
      <c r="H834" s="99"/>
    </row>
    <row r="835">
      <c r="F835" s="99"/>
      <c r="G835" s="99"/>
      <c r="H835" s="99"/>
    </row>
    <row r="836">
      <c r="F836" s="99"/>
      <c r="G836" s="99"/>
      <c r="H836" s="99"/>
    </row>
    <row r="837">
      <c r="F837" s="99"/>
      <c r="G837" s="99"/>
      <c r="H837" s="99"/>
    </row>
    <row r="838">
      <c r="F838" s="99"/>
      <c r="G838" s="99"/>
      <c r="H838" s="99"/>
    </row>
    <row r="839">
      <c r="F839" s="99"/>
      <c r="G839" s="99"/>
      <c r="H839" s="99"/>
    </row>
    <row r="840">
      <c r="F840" s="99"/>
      <c r="G840" s="99"/>
      <c r="H840" s="99"/>
    </row>
    <row r="841">
      <c r="F841" s="99"/>
      <c r="G841" s="99"/>
      <c r="H841" s="99"/>
    </row>
    <row r="842">
      <c r="F842" s="99"/>
      <c r="G842" s="99"/>
      <c r="H842" s="99"/>
    </row>
    <row r="843">
      <c r="F843" s="99"/>
      <c r="G843" s="99"/>
      <c r="H843" s="99"/>
    </row>
    <row r="844">
      <c r="F844" s="99"/>
      <c r="G844" s="99"/>
      <c r="H844" s="99"/>
    </row>
    <row r="845">
      <c r="F845" s="99"/>
      <c r="G845" s="99"/>
      <c r="H845" s="99"/>
    </row>
    <row r="846">
      <c r="F846" s="99"/>
      <c r="G846" s="99"/>
      <c r="H846" s="99"/>
    </row>
    <row r="847">
      <c r="F847" s="99"/>
      <c r="G847" s="99"/>
      <c r="H847" s="99"/>
    </row>
    <row r="848">
      <c r="F848" s="99"/>
      <c r="G848" s="99"/>
      <c r="H848" s="99"/>
    </row>
    <row r="849">
      <c r="F849" s="99"/>
      <c r="G849" s="99"/>
      <c r="H849" s="99"/>
    </row>
    <row r="850">
      <c r="F850" s="99"/>
      <c r="G850" s="99"/>
      <c r="H850" s="99"/>
    </row>
    <row r="851">
      <c r="F851" s="99"/>
      <c r="G851" s="99"/>
      <c r="H851" s="99"/>
    </row>
    <row r="852">
      <c r="F852" s="99"/>
      <c r="G852" s="99"/>
      <c r="H852" s="99"/>
    </row>
    <row r="853">
      <c r="F853" s="99"/>
      <c r="G853" s="99"/>
      <c r="H853" s="99"/>
    </row>
    <row r="854">
      <c r="F854" s="99"/>
      <c r="G854" s="99"/>
      <c r="H854" s="99"/>
    </row>
    <row r="855">
      <c r="F855" s="99"/>
      <c r="G855" s="99"/>
      <c r="H855" s="99"/>
    </row>
    <row r="856">
      <c r="F856" s="99"/>
      <c r="G856" s="99"/>
      <c r="H856" s="99"/>
    </row>
    <row r="857">
      <c r="F857" s="99"/>
      <c r="G857" s="99"/>
      <c r="H857" s="99"/>
    </row>
    <row r="858">
      <c r="F858" s="99"/>
      <c r="G858" s="99"/>
      <c r="H858" s="99"/>
    </row>
    <row r="859">
      <c r="F859" s="99"/>
      <c r="G859" s="99"/>
      <c r="H859" s="99"/>
    </row>
    <row r="860">
      <c r="F860" s="99"/>
      <c r="G860" s="99"/>
      <c r="H860" s="99"/>
    </row>
    <row r="861">
      <c r="F861" s="99"/>
      <c r="G861" s="99"/>
      <c r="H861" s="99"/>
    </row>
    <row r="862">
      <c r="F862" s="99"/>
      <c r="G862" s="99"/>
      <c r="H862" s="99"/>
    </row>
    <row r="863">
      <c r="F863" s="99"/>
      <c r="G863" s="99"/>
      <c r="H863" s="99"/>
    </row>
    <row r="864">
      <c r="F864" s="99"/>
      <c r="G864" s="99"/>
      <c r="H864" s="99"/>
    </row>
    <row r="865">
      <c r="F865" s="99"/>
      <c r="G865" s="99"/>
      <c r="H865" s="99"/>
    </row>
    <row r="866">
      <c r="F866" s="99"/>
      <c r="G866" s="99"/>
      <c r="H866" s="99"/>
    </row>
    <row r="867">
      <c r="F867" s="99"/>
      <c r="G867" s="99"/>
      <c r="H867" s="99"/>
    </row>
    <row r="868">
      <c r="F868" s="99"/>
      <c r="G868" s="99"/>
      <c r="H868" s="99"/>
    </row>
    <row r="869">
      <c r="F869" s="99"/>
      <c r="G869" s="99"/>
      <c r="H869" s="99"/>
    </row>
    <row r="870">
      <c r="F870" s="99"/>
      <c r="G870" s="99"/>
      <c r="H870" s="99"/>
    </row>
    <row r="871">
      <c r="F871" s="99"/>
      <c r="G871" s="99"/>
      <c r="H871" s="99"/>
    </row>
    <row r="872">
      <c r="F872" s="99"/>
      <c r="G872" s="99"/>
      <c r="H872" s="99"/>
    </row>
    <row r="873">
      <c r="F873" s="99"/>
      <c r="G873" s="99"/>
      <c r="H873" s="99"/>
    </row>
    <row r="874">
      <c r="F874" s="99"/>
      <c r="G874" s="99"/>
      <c r="H874" s="99"/>
    </row>
    <row r="875">
      <c r="F875" s="99"/>
      <c r="G875" s="99"/>
      <c r="H875" s="99"/>
    </row>
    <row r="876">
      <c r="F876" s="99"/>
      <c r="G876" s="99"/>
      <c r="H876" s="99"/>
    </row>
    <row r="877">
      <c r="F877" s="99"/>
      <c r="G877" s="99"/>
      <c r="H877" s="99"/>
    </row>
    <row r="878">
      <c r="F878" s="99"/>
      <c r="G878" s="99"/>
      <c r="H878" s="99"/>
    </row>
    <row r="879">
      <c r="F879" s="99"/>
      <c r="G879" s="99"/>
      <c r="H879" s="99"/>
    </row>
    <row r="880">
      <c r="F880" s="99"/>
      <c r="G880" s="99"/>
      <c r="H880" s="99"/>
    </row>
    <row r="881">
      <c r="F881" s="99"/>
      <c r="G881" s="99"/>
      <c r="H881" s="99"/>
    </row>
    <row r="882">
      <c r="F882" s="99"/>
      <c r="G882" s="99"/>
      <c r="H882" s="99"/>
    </row>
    <row r="883">
      <c r="F883" s="99"/>
      <c r="G883" s="99"/>
      <c r="H883" s="99"/>
    </row>
    <row r="884">
      <c r="F884" s="99"/>
      <c r="G884" s="99"/>
      <c r="H884" s="99"/>
    </row>
    <row r="885">
      <c r="F885" s="99"/>
      <c r="G885" s="99"/>
      <c r="H885" s="99"/>
    </row>
    <row r="886">
      <c r="F886" s="99"/>
      <c r="G886" s="99"/>
      <c r="H886" s="99"/>
    </row>
    <row r="887">
      <c r="F887" s="99"/>
      <c r="G887" s="99"/>
      <c r="H887" s="99"/>
    </row>
    <row r="888">
      <c r="F888" s="99"/>
      <c r="G888" s="99"/>
      <c r="H888" s="99"/>
    </row>
    <row r="889">
      <c r="F889" s="99"/>
      <c r="G889" s="99"/>
      <c r="H889" s="99"/>
    </row>
    <row r="890">
      <c r="F890" s="99"/>
      <c r="G890" s="99"/>
      <c r="H890" s="99"/>
    </row>
    <row r="891">
      <c r="F891" s="99"/>
      <c r="G891" s="99"/>
      <c r="H891" s="99"/>
    </row>
    <row r="892">
      <c r="F892" s="99"/>
      <c r="G892" s="99"/>
      <c r="H892" s="99"/>
    </row>
    <row r="893">
      <c r="F893" s="99"/>
      <c r="G893" s="99"/>
      <c r="H893" s="99"/>
    </row>
    <row r="894">
      <c r="F894" s="99"/>
      <c r="G894" s="99"/>
      <c r="H894" s="99"/>
    </row>
    <row r="895">
      <c r="F895" s="99"/>
      <c r="G895" s="99"/>
      <c r="H895" s="99"/>
    </row>
    <row r="896">
      <c r="F896" s="99"/>
      <c r="G896" s="99"/>
      <c r="H896" s="99"/>
    </row>
    <row r="897">
      <c r="F897" s="99"/>
      <c r="G897" s="99"/>
      <c r="H897" s="99"/>
    </row>
    <row r="898">
      <c r="F898" s="99"/>
      <c r="G898" s="99"/>
      <c r="H898" s="99"/>
    </row>
    <row r="899">
      <c r="F899" s="99"/>
      <c r="G899" s="99"/>
      <c r="H899" s="99"/>
    </row>
    <row r="900">
      <c r="F900" s="99"/>
      <c r="G900" s="99"/>
      <c r="H900" s="99"/>
    </row>
    <row r="901">
      <c r="F901" s="99"/>
      <c r="G901" s="99"/>
      <c r="H901" s="99"/>
    </row>
    <row r="902">
      <c r="F902" s="99"/>
      <c r="G902" s="99"/>
      <c r="H902" s="99"/>
    </row>
    <row r="903">
      <c r="F903" s="99"/>
      <c r="G903" s="99"/>
      <c r="H903" s="99"/>
    </row>
    <row r="904">
      <c r="F904" s="99"/>
      <c r="G904" s="99"/>
      <c r="H904" s="99"/>
    </row>
    <row r="905">
      <c r="F905" s="99"/>
      <c r="G905" s="99"/>
      <c r="H905" s="99"/>
    </row>
    <row r="906">
      <c r="F906" s="99"/>
      <c r="G906" s="99"/>
      <c r="H906" s="99"/>
    </row>
    <row r="907">
      <c r="F907" s="99"/>
      <c r="G907" s="99"/>
      <c r="H907" s="99"/>
    </row>
    <row r="908">
      <c r="F908" s="99"/>
      <c r="G908" s="99"/>
      <c r="H908" s="99"/>
    </row>
    <row r="909">
      <c r="F909" s="99"/>
      <c r="G909" s="99"/>
      <c r="H909" s="99"/>
    </row>
    <row r="910">
      <c r="F910" s="99"/>
      <c r="G910" s="99"/>
      <c r="H910" s="99"/>
    </row>
    <row r="911">
      <c r="F911" s="99"/>
      <c r="G911" s="99"/>
      <c r="H911" s="99"/>
    </row>
    <row r="912">
      <c r="F912" s="99"/>
      <c r="G912" s="99"/>
      <c r="H912" s="99"/>
    </row>
    <row r="913">
      <c r="F913" s="99"/>
      <c r="G913" s="99"/>
      <c r="H913" s="99"/>
    </row>
    <row r="914">
      <c r="F914" s="99"/>
      <c r="G914" s="99"/>
      <c r="H914" s="99"/>
    </row>
    <row r="915">
      <c r="F915" s="99"/>
      <c r="G915" s="99"/>
      <c r="H915" s="99"/>
    </row>
    <row r="916">
      <c r="F916" s="99"/>
      <c r="G916" s="99"/>
      <c r="H916" s="99"/>
    </row>
    <row r="917">
      <c r="F917" s="99"/>
      <c r="G917" s="99"/>
      <c r="H917" s="99"/>
    </row>
    <row r="918">
      <c r="F918" s="99"/>
      <c r="G918" s="99"/>
      <c r="H918" s="99"/>
    </row>
    <row r="919">
      <c r="F919" s="99"/>
      <c r="G919" s="99"/>
      <c r="H919" s="99"/>
    </row>
    <row r="920">
      <c r="F920" s="99"/>
      <c r="G920" s="99"/>
      <c r="H920" s="99"/>
    </row>
    <row r="921">
      <c r="F921" s="99"/>
      <c r="G921" s="99"/>
      <c r="H921" s="99"/>
    </row>
    <row r="922">
      <c r="F922" s="99"/>
      <c r="G922" s="99"/>
      <c r="H922" s="99"/>
    </row>
    <row r="923">
      <c r="F923" s="99"/>
      <c r="G923" s="99"/>
      <c r="H923" s="99"/>
    </row>
    <row r="924">
      <c r="F924" s="99"/>
      <c r="G924" s="99"/>
      <c r="H924" s="99"/>
    </row>
    <row r="925">
      <c r="F925" s="99"/>
      <c r="G925" s="99"/>
      <c r="H925" s="99"/>
    </row>
    <row r="926">
      <c r="F926" s="99"/>
      <c r="G926" s="99"/>
      <c r="H926" s="99"/>
    </row>
    <row r="927">
      <c r="F927" s="99"/>
      <c r="G927" s="99"/>
      <c r="H927" s="99"/>
    </row>
    <row r="928">
      <c r="F928" s="99"/>
      <c r="G928" s="99"/>
      <c r="H928" s="99"/>
    </row>
    <row r="929">
      <c r="F929" s="99"/>
      <c r="G929" s="99"/>
      <c r="H929" s="99"/>
    </row>
    <row r="930">
      <c r="F930" s="99"/>
      <c r="G930" s="99"/>
      <c r="H930" s="99"/>
    </row>
    <row r="931">
      <c r="F931" s="99"/>
      <c r="G931" s="99"/>
      <c r="H931" s="99"/>
    </row>
    <row r="932">
      <c r="F932" s="99"/>
      <c r="G932" s="99"/>
      <c r="H932" s="99"/>
    </row>
    <row r="933">
      <c r="F933" s="99"/>
      <c r="G933" s="99"/>
      <c r="H933" s="99"/>
    </row>
    <row r="934">
      <c r="F934" s="99"/>
      <c r="G934" s="99"/>
      <c r="H934" s="99"/>
    </row>
    <row r="935">
      <c r="F935" s="99"/>
      <c r="G935" s="99"/>
      <c r="H935" s="99"/>
    </row>
    <row r="936">
      <c r="F936" s="99"/>
      <c r="G936" s="99"/>
      <c r="H936" s="99"/>
    </row>
    <row r="937">
      <c r="F937" s="99"/>
      <c r="G937" s="99"/>
      <c r="H937" s="99"/>
    </row>
    <row r="938">
      <c r="F938" s="99"/>
      <c r="G938" s="99"/>
      <c r="H938" s="99"/>
    </row>
    <row r="939">
      <c r="F939" s="99"/>
      <c r="G939" s="99"/>
      <c r="H939" s="99"/>
    </row>
    <row r="940">
      <c r="F940" s="99"/>
      <c r="G940" s="99"/>
      <c r="H940" s="99"/>
    </row>
    <row r="941">
      <c r="F941" s="99"/>
      <c r="G941" s="99"/>
      <c r="H941" s="99"/>
    </row>
    <row r="942">
      <c r="F942" s="99"/>
      <c r="G942" s="99"/>
      <c r="H942" s="99"/>
    </row>
    <row r="943">
      <c r="F943" s="99"/>
      <c r="G943" s="99"/>
      <c r="H943" s="99"/>
    </row>
    <row r="944">
      <c r="F944" s="99"/>
      <c r="G944" s="99"/>
      <c r="H944" s="99"/>
    </row>
    <row r="945">
      <c r="F945" s="99"/>
      <c r="G945" s="99"/>
      <c r="H945" s="99"/>
    </row>
    <row r="946">
      <c r="F946" s="99"/>
      <c r="G946" s="99"/>
      <c r="H946" s="99"/>
    </row>
    <row r="947">
      <c r="F947" s="99"/>
      <c r="G947" s="99"/>
      <c r="H947" s="99"/>
    </row>
    <row r="948">
      <c r="F948" s="99"/>
      <c r="G948" s="99"/>
      <c r="H948" s="99"/>
    </row>
    <row r="949">
      <c r="F949" s="99"/>
      <c r="G949" s="99"/>
      <c r="H949" s="99"/>
    </row>
    <row r="950">
      <c r="F950" s="99"/>
      <c r="G950" s="99"/>
      <c r="H950" s="99"/>
    </row>
    <row r="951">
      <c r="F951" s="99"/>
      <c r="G951" s="99"/>
      <c r="H951" s="99"/>
    </row>
    <row r="952">
      <c r="F952" s="99"/>
      <c r="G952" s="99"/>
      <c r="H952" s="99"/>
    </row>
    <row r="953">
      <c r="F953" s="99"/>
      <c r="G953" s="99"/>
      <c r="H953" s="99"/>
    </row>
    <row r="954">
      <c r="F954" s="99"/>
      <c r="G954" s="99"/>
      <c r="H954" s="99"/>
    </row>
    <row r="955">
      <c r="F955" s="99"/>
      <c r="G955" s="99"/>
      <c r="H955" s="99"/>
    </row>
    <row r="956">
      <c r="F956" s="99"/>
      <c r="G956" s="99"/>
      <c r="H956" s="99"/>
    </row>
    <row r="957">
      <c r="F957" s="99"/>
      <c r="G957" s="99"/>
      <c r="H957" s="99"/>
    </row>
    <row r="958">
      <c r="F958" s="99"/>
      <c r="G958" s="99"/>
      <c r="H958" s="99"/>
    </row>
    <row r="959">
      <c r="F959" s="99"/>
      <c r="G959" s="99"/>
      <c r="H959" s="99"/>
    </row>
    <row r="960">
      <c r="F960" s="99"/>
      <c r="G960" s="99"/>
      <c r="H960" s="99"/>
    </row>
    <row r="961">
      <c r="F961" s="99"/>
      <c r="G961" s="99"/>
      <c r="H961" s="99"/>
    </row>
    <row r="962">
      <c r="F962" s="99"/>
      <c r="G962" s="99"/>
      <c r="H962" s="99"/>
    </row>
    <row r="963">
      <c r="F963" s="99"/>
      <c r="G963" s="99"/>
      <c r="H963" s="99"/>
    </row>
    <row r="964">
      <c r="F964" s="99"/>
      <c r="G964" s="99"/>
      <c r="H964" s="99"/>
    </row>
    <row r="965">
      <c r="F965" s="99"/>
      <c r="G965" s="99"/>
      <c r="H965" s="99"/>
    </row>
    <row r="966">
      <c r="F966" s="99"/>
      <c r="G966" s="99"/>
      <c r="H966" s="99"/>
    </row>
    <row r="967">
      <c r="F967" s="99"/>
      <c r="G967" s="99"/>
      <c r="H967" s="99"/>
    </row>
    <row r="968">
      <c r="F968" s="99"/>
      <c r="G968" s="99"/>
      <c r="H968" s="99"/>
    </row>
    <row r="969">
      <c r="F969" s="99"/>
      <c r="G969" s="99"/>
      <c r="H969" s="99"/>
    </row>
    <row r="970">
      <c r="F970" s="99"/>
      <c r="G970" s="99"/>
      <c r="H970" s="99"/>
    </row>
    <row r="971">
      <c r="F971" s="99"/>
      <c r="G971" s="99"/>
      <c r="H971" s="99"/>
    </row>
    <row r="972">
      <c r="F972" s="99"/>
      <c r="G972" s="99"/>
      <c r="H972" s="99"/>
    </row>
    <row r="973">
      <c r="F973" s="99"/>
      <c r="G973" s="99"/>
      <c r="H973" s="99"/>
    </row>
    <row r="974">
      <c r="F974" s="99"/>
      <c r="G974" s="99"/>
      <c r="H974" s="99"/>
    </row>
    <row r="975">
      <c r="F975" s="99"/>
      <c r="G975" s="99"/>
      <c r="H975" s="99"/>
    </row>
    <row r="976">
      <c r="F976" s="99"/>
      <c r="G976" s="99"/>
      <c r="H976" s="99"/>
    </row>
    <row r="977">
      <c r="F977" s="99"/>
      <c r="G977" s="99"/>
      <c r="H977" s="99"/>
    </row>
    <row r="978">
      <c r="F978" s="99"/>
      <c r="G978" s="99"/>
      <c r="H978" s="99"/>
    </row>
    <row r="979">
      <c r="F979" s="99"/>
      <c r="G979" s="99"/>
      <c r="H979" s="99"/>
    </row>
    <row r="980">
      <c r="F980" s="99"/>
      <c r="G980" s="99"/>
      <c r="H980" s="99"/>
    </row>
    <row r="981">
      <c r="F981" s="99"/>
      <c r="G981" s="99"/>
      <c r="H981" s="99"/>
    </row>
    <row r="982">
      <c r="F982" s="99"/>
      <c r="G982" s="99"/>
      <c r="H982" s="99"/>
    </row>
    <row r="983">
      <c r="F983" s="99"/>
      <c r="G983" s="99"/>
      <c r="H983" s="99"/>
    </row>
    <row r="984">
      <c r="F984" s="99"/>
      <c r="G984" s="99"/>
      <c r="H984" s="99"/>
    </row>
    <row r="985">
      <c r="F985" s="99"/>
      <c r="G985" s="99"/>
      <c r="H985" s="99"/>
    </row>
    <row r="986">
      <c r="F986" s="99"/>
      <c r="G986" s="99"/>
      <c r="H986" s="99"/>
    </row>
    <row r="987">
      <c r="F987" s="99"/>
      <c r="G987" s="99"/>
      <c r="H987" s="99"/>
    </row>
    <row r="988">
      <c r="F988" s="99"/>
      <c r="G988" s="99"/>
      <c r="H988" s="99"/>
    </row>
    <row r="989">
      <c r="F989" s="99"/>
      <c r="G989" s="99"/>
      <c r="H989" s="99"/>
    </row>
    <row r="990">
      <c r="F990" s="99"/>
      <c r="G990" s="99"/>
      <c r="H990" s="99"/>
    </row>
    <row r="991">
      <c r="F991" s="99"/>
      <c r="G991" s="99"/>
      <c r="H991" s="99"/>
    </row>
    <row r="992">
      <c r="F992" s="99"/>
      <c r="G992" s="99"/>
      <c r="H992" s="99"/>
    </row>
    <row r="993">
      <c r="F993" s="99"/>
      <c r="G993" s="99"/>
      <c r="H993" s="99"/>
    </row>
    <row r="994">
      <c r="F994" s="99"/>
      <c r="G994" s="99"/>
      <c r="H994" s="99"/>
    </row>
    <row r="995">
      <c r="F995" s="99"/>
      <c r="G995" s="99"/>
      <c r="H995" s="99"/>
    </row>
    <row r="996">
      <c r="F996" s="99"/>
      <c r="G996" s="99"/>
      <c r="H996" s="99"/>
    </row>
    <row r="997">
      <c r="F997" s="99"/>
      <c r="G997" s="99"/>
      <c r="H997" s="99"/>
    </row>
    <row r="998">
      <c r="F998" s="99"/>
      <c r="G998" s="99"/>
      <c r="H998" s="99"/>
    </row>
    <row r="999">
      <c r="F999" s="99"/>
      <c r="G999" s="99"/>
      <c r="H999" s="99"/>
    </row>
    <row r="1000">
      <c r="F1000" s="99"/>
      <c r="G1000" s="99"/>
      <c r="H1000" s="99"/>
    </row>
    <row r="1001">
      <c r="F1001" s="99"/>
      <c r="G1001" s="99"/>
      <c r="H1001" s="99"/>
    </row>
    <row r="1002">
      <c r="F1002" s="99"/>
      <c r="G1002" s="99"/>
      <c r="H1002" s="99"/>
    </row>
    <row r="1003">
      <c r="F1003" s="99"/>
      <c r="G1003" s="99"/>
      <c r="H1003" s="99"/>
    </row>
    <row r="1004">
      <c r="F1004" s="99"/>
      <c r="G1004" s="99"/>
      <c r="H1004" s="99"/>
    </row>
    <row r="1005">
      <c r="F1005" s="99"/>
      <c r="G1005" s="99"/>
      <c r="H1005" s="99"/>
    </row>
    <row r="1006">
      <c r="F1006" s="99"/>
      <c r="G1006" s="99"/>
      <c r="H1006" s="99"/>
    </row>
  </sheetData>
  <drawing r:id="rId1"/>
</worksheet>
</file>